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inco\Desktop\CURSOS\excel\Avanzado\Proyecto\Proyecto Excel avanzado\"/>
    </mc:Choice>
  </mc:AlternateContent>
  <xr:revisionPtr revIDLastSave="0" documentId="13_ncr:1_{2DE87CFF-5828-4225-9C56-CF232C7E86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rad" sheetId="5" r:id="rId1"/>
    <sheet name="Dashboard_Procesamiento" sheetId="12" r:id="rId2"/>
    <sheet name="Hoja_separación" sheetId="13" r:id="rId3"/>
    <sheet name="Fact_Ventas" sheetId="9" r:id="rId4"/>
    <sheet name="Dim_Clientes_Marketing" sheetId="8" r:id="rId5"/>
    <sheet name="Dim_Gastos_Operativos" sheetId="7" r:id="rId6"/>
    <sheet name="Dim_Tiempo" sheetId="4" r:id="rId7"/>
    <sheet name="Dim_Producto" sheetId="10" r:id="rId8"/>
    <sheet name="Dim_Meses_Puente" sheetId="11" r:id="rId9"/>
  </sheets>
  <definedNames>
    <definedName name="_xlcn.WorksheetConnection_Proyecto.xlsxDim_Clientes_Marketing" hidden="1">Dim_Clientes_Marketing[]</definedName>
    <definedName name="_xlcn.WorksheetConnection_Proyecto.xlsxDim_Gastos_Operativos" hidden="1">Dim_Gastos_Operativos[]</definedName>
    <definedName name="_xlcn.WorksheetConnection_Proyecto.xlsxDim_Meses_Puente" hidden="1">Dim_Meses_Puente[]</definedName>
    <definedName name="_xlcn.WorksheetConnection_Proyecto.xlsxDim_Tiempo" hidden="1">Dim_Tiempo[]</definedName>
    <definedName name="_xlcn.WorksheetConnection_Proyecto.xlsxFact_Ventas" hidden="1">Fact_Ventas[]</definedName>
    <definedName name="_xlcn.WorksheetConnection_Proyecto.xlsxTabla10" hidden="1">Dim_Producto[]</definedName>
    <definedName name="SegmentaciónDeDatos_Año">#N/A</definedName>
    <definedName name="SegmentaciónDeDatos_Responsable">#N/A</definedName>
    <definedName name="SegmentaciónDeDatos_Trimestre">#N/A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4="http://schemas.microsoft.com/office/spreadsheetml/2009/9/main" uri="{876F7934-8845-4945-9796-88D515C7AA90}">
      <x14:pivotCaches>
        <pivotCache cacheId="5" r:id="rId15"/>
      </x14:pivotCaches>
    </ex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0" name="Dim_Producto" connection="WorksheetConnection_Proyecto.xlsx!Tabla10"/>
          <x15:modelTable id="Fact_Ventas" name="Fact_Ventas" connection="WorksheetConnection_Proyecto.xlsx!Fact_Ventas"/>
          <x15:modelTable id="Dim_Tiempo" name="Dim_Tiempo" connection="WorksheetConnection_Proyecto.xlsx!Dim_Tiempo"/>
          <x15:modelTable id="Dim_Meses_Puente" name="Dim_Meses_Puente" connection="WorksheetConnection_Proyecto.xlsx!Dim_Meses_Puente"/>
          <x15:modelTable id="Dim_Gastos_Operativos" name="Dim_Gastos_Operativos" connection="WorksheetConnection_Proyecto.xlsx!Dim_Gastos_Operativos"/>
          <x15:modelTable id="Dim_Clientes_Marketing" name="Dim_Clientes_Marketing" connection="WorksheetConnection_Proyecto.xlsx!Dim_Clientes_Marketing"/>
        </x15:modelTables>
        <x15:modelRelationships>
          <x15:modelRelationship fromTable="Fact_Ventas" fromColumn="Fecha" toTable="Dim_Tiempo" toColumn="Fecha"/>
          <x15:modelRelationship fromTable="Fact_Ventas" fromColumn="ID_Producto" toTable="Dim_Producto" toColumn="ID_Producto"/>
          <x15:modelRelationship fromTable="Fact_Ventas" fromColumn="ID_Cliente" toTable="Dim_Clientes_Marketing" toColumn="ID_Cliente"/>
          <x15:modelRelationship fromTable="Dim_Gastos_Operativos" fromColumn="ID_Mes" toTable="Dim_Meses_Puente" toColumn="ID_Mes"/>
          <x15:modelRelationship fromTable="Dim_Tiempo" fromColumn="ID_Mes" toTable="Dim_Meses_Puente" toColumn="ID_Me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2" l="1"/>
  <c r="C17" i="12"/>
  <c r="F17" i="12"/>
  <c r="B17" i="12"/>
  <c r="D17" i="12"/>
  <c r="E17" i="12"/>
  <c r="D41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10CB33-3430-4C78-BF3B-FC7C57186F0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4845EE5-B5E7-4249-8FAF-10D5BEC43FFB}" name="WorksheetConnection_Proyecto.xlsx!Dim_Clientes_Marketing" type="102" refreshedVersion="8" minRefreshableVersion="5">
    <extLst>
      <ext xmlns:x15="http://schemas.microsoft.com/office/spreadsheetml/2010/11/main" uri="{DE250136-89BD-433C-8126-D09CA5730AF9}">
        <x15:connection id="Dim_Clientes_Marketing">
          <x15:rangePr sourceName="_xlcn.WorksheetConnection_Proyecto.xlsxDim_Clientes_Marketing"/>
        </x15:connection>
      </ext>
    </extLst>
  </connection>
  <connection id="3" xr16:uid="{C84FC2D1-1FF9-45AA-81D8-90F4BB7B525D}" name="WorksheetConnection_Proyecto.xlsx!Dim_Gastos_Operativos" type="102" refreshedVersion="8" minRefreshableVersion="5">
    <extLst>
      <ext xmlns:x15="http://schemas.microsoft.com/office/spreadsheetml/2010/11/main" uri="{DE250136-89BD-433C-8126-D09CA5730AF9}">
        <x15:connection id="Dim_Gastos_Operativos">
          <x15:rangePr sourceName="_xlcn.WorksheetConnection_Proyecto.xlsxDim_Gastos_Operativos"/>
        </x15:connection>
      </ext>
    </extLst>
  </connection>
  <connection id="4" xr16:uid="{812BC906-536C-425F-9E95-27391078887C}" name="WorksheetConnection_Proyecto.xlsx!Dim_Meses_Puente" type="102" refreshedVersion="8" minRefreshableVersion="5">
    <extLst>
      <ext xmlns:x15="http://schemas.microsoft.com/office/spreadsheetml/2010/11/main" uri="{DE250136-89BD-433C-8126-D09CA5730AF9}">
        <x15:connection id="Dim_Meses_Puente">
          <x15:rangePr sourceName="_xlcn.WorksheetConnection_Proyecto.xlsxDim_Meses_Puente"/>
        </x15:connection>
      </ext>
    </extLst>
  </connection>
  <connection id="5" xr16:uid="{2ECB82E8-63C6-4AD3-944C-F4AB2B58E128}" name="WorksheetConnection_Proyecto.xlsx!Dim_Tiempo" type="102" refreshedVersion="8" minRefreshableVersion="5">
    <extLst>
      <ext xmlns:x15="http://schemas.microsoft.com/office/spreadsheetml/2010/11/main" uri="{DE250136-89BD-433C-8126-D09CA5730AF9}">
        <x15:connection id="Dim_Tiempo">
          <x15:rangePr sourceName="_xlcn.WorksheetConnection_Proyecto.xlsxDim_Tiempo"/>
        </x15:connection>
      </ext>
    </extLst>
  </connection>
  <connection id="6" xr16:uid="{4DD676EE-0270-4AA9-9C22-09C6F2E14B15}" name="WorksheetConnection_Proyecto.xlsx!Fact_Ventas" type="102" refreshedVersion="8" minRefreshableVersion="5">
    <extLst>
      <ext xmlns:x15="http://schemas.microsoft.com/office/spreadsheetml/2010/11/main" uri="{DE250136-89BD-433C-8126-D09CA5730AF9}">
        <x15:connection id="Fact_Ventas">
          <x15:rangePr sourceName="_xlcn.WorksheetConnection_Proyecto.xlsxFact_Ventas"/>
        </x15:connection>
      </ext>
    </extLst>
  </connection>
  <connection id="7" xr16:uid="{C7ADC9D5-B4EF-4EA9-AF4F-6CF088A6375B}" name="WorksheetConnection_Proyecto.xlsx!Tabla10" type="102" refreshedVersion="8" minRefreshableVersion="5">
    <extLst>
      <ext xmlns:x15="http://schemas.microsoft.com/office/spreadsheetml/2010/11/main" uri="{DE250136-89BD-433C-8126-D09CA5730AF9}">
        <x15:connection id="Tabla10">
          <x15:rangePr sourceName="_xlcn.WorksheetConnection_Proyecto.xlsxTabla10"/>
        </x15:connection>
      </ext>
    </extLst>
  </connection>
</connections>
</file>

<file path=xl/sharedStrings.xml><?xml version="1.0" encoding="utf-8"?>
<sst xmlns="http://schemas.openxmlformats.org/spreadsheetml/2006/main" count="2617" uniqueCount="451">
  <si>
    <t>ID_Venta</t>
  </si>
  <si>
    <t>ID_Cliente</t>
  </si>
  <si>
    <t>Fecha</t>
  </si>
  <si>
    <t>Producto_Categoria</t>
  </si>
  <si>
    <t>Ingreso_Venta</t>
  </si>
  <si>
    <t>Costo_Directo_Producto</t>
  </si>
  <si>
    <t>V-001</t>
  </si>
  <si>
    <t>C-024</t>
  </si>
  <si>
    <t>Tecnología</t>
  </si>
  <si>
    <t>V-002</t>
  </si>
  <si>
    <t>C-085</t>
  </si>
  <si>
    <t>Hogar</t>
  </si>
  <si>
    <t>V-003</t>
  </si>
  <si>
    <t>C-012</t>
  </si>
  <si>
    <t>Moda</t>
  </si>
  <si>
    <t>V-004</t>
  </si>
  <si>
    <t>C-055</t>
  </si>
  <si>
    <t>V-005</t>
  </si>
  <si>
    <t>C-003</t>
  </si>
  <si>
    <t>Deportes</t>
  </si>
  <si>
    <t>V-006</t>
  </si>
  <si>
    <t>C-091</t>
  </si>
  <si>
    <t>V-007</t>
  </si>
  <si>
    <t>C-044</t>
  </si>
  <si>
    <t>V-008</t>
  </si>
  <si>
    <t>C-073</t>
  </si>
  <si>
    <t>V-009</t>
  </si>
  <si>
    <t>C-019</t>
  </si>
  <si>
    <t>V-010</t>
  </si>
  <si>
    <t>C-062</t>
  </si>
  <si>
    <t>V-011</t>
  </si>
  <si>
    <t>V-012</t>
  </si>
  <si>
    <t>C-031</t>
  </si>
  <si>
    <t>V-013</t>
  </si>
  <si>
    <t>V-088</t>
  </si>
  <si>
    <t>V-014</t>
  </si>
  <si>
    <t>C-050</t>
  </si>
  <si>
    <t>V-015</t>
  </si>
  <si>
    <t>C-015</t>
  </si>
  <si>
    <t>V-016</t>
  </si>
  <si>
    <t>C-077</t>
  </si>
  <si>
    <t>V-017</t>
  </si>
  <si>
    <t>C-009</t>
  </si>
  <si>
    <t>V-018</t>
  </si>
  <si>
    <t>C-094</t>
  </si>
  <si>
    <t>V-019</t>
  </si>
  <si>
    <t>V-020</t>
  </si>
  <si>
    <t>V-021</t>
  </si>
  <si>
    <t>C-037</t>
  </si>
  <si>
    <t>V-022</t>
  </si>
  <si>
    <t>C-081</t>
  </si>
  <si>
    <t>V-023</t>
  </si>
  <si>
    <t>C-014</t>
  </si>
  <si>
    <t>V-024</t>
  </si>
  <si>
    <t>C-066</t>
  </si>
  <si>
    <t>V-025</t>
  </si>
  <si>
    <t>C-002</t>
  </si>
  <si>
    <t>V-026</t>
  </si>
  <si>
    <t>V-027</t>
  </si>
  <si>
    <t>C-041</t>
  </si>
  <si>
    <t>V-028</t>
  </si>
  <si>
    <t>C-089</t>
  </si>
  <si>
    <t>V-029</t>
  </si>
  <si>
    <t>V-030</t>
  </si>
  <si>
    <t>C-053</t>
  </si>
  <si>
    <t>V-031</t>
  </si>
  <si>
    <t>C-027</t>
  </si>
  <si>
    <t>V-032</t>
  </si>
  <si>
    <t>C-070</t>
  </si>
  <si>
    <t>V-033</t>
  </si>
  <si>
    <t>C-005</t>
  </si>
  <si>
    <t>V-034</t>
  </si>
  <si>
    <t>C-061</t>
  </si>
  <si>
    <t>V-035</t>
  </si>
  <si>
    <t>C-018</t>
  </si>
  <si>
    <t>V-036</t>
  </si>
  <si>
    <t>C-083</t>
  </si>
  <si>
    <t>V-037</t>
  </si>
  <si>
    <t>C-033</t>
  </si>
  <si>
    <t>V-038</t>
  </si>
  <si>
    <t>V-039</t>
  </si>
  <si>
    <t>C-011</t>
  </si>
  <si>
    <t>V-040</t>
  </si>
  <si>
    <t>C-079</t>
  </si>
  <si>
    <t>V-041</t>
  </si>
  <si>
    <t>V-042</t>
  </si>
  <si>
    <t>C-068</t>
  </si>
  <si>
    <t>V-043</t>
  </si>
  <si>
    <t>C-004</t>
  </si>
  <si>
    <t>V-044</t>
  </si>
  <si>
    <t>C-092</t>
  </si>
  <si>
    <t>V-045</t>
  </si>
  <si>
    <t>V-046</t>
  </si>
  <si>
    <t>C-057</t>
  </si>
  <si>
    <t>V-047</t>
  </si>
  <si>
    <t>C-039</t>
  </si>
  <si>
    <t>V-048</t>
  </si>
  <si>
    <t>V-049</t>
  </si>
  <si>
    <t>C-022</t>
  </si>
  <si>
    <t>V-050</t>
  </si>
  <si>
    <t>C-071</t>
  </si>
  <si>
    <t>V-051</t>
  </si>
  <si>
    <t>C-008</t>
  </si>
  <si>
    <t>V-052</t>
  </si>
  <si>
    <t>C-064</t>
  </si>
  <si>
    <t>V-053</t>
  </si>
  <si>
    <t>V-054</t>
  </si>
  <si>
    <t>C-097</t>
  </si>
  <si>
    <t>V-055</t>
  </si>
  <si>
    <t>V-056</t>
  </si>
  <si>
    <t>C-051</t>
  </si>
  <si>
    <t>V-057</t>
  </si>
  <si>
    <t>V-058</t>
  </si>
  <si>
    <t>C-088</t>
  </si>
  <si>
    <t>V-059</t>
  </si>
  <si>
    <t>V-060</t>
  </si>
  <si>
    <t>C-075</t>
  </si>
  <si>
    <t>V-061</t>
  </si>
  <si>
    <t>C-029</t>
  </si>
  <si>
    <t>V-062</t>
  </si>
  <si>
    <t>V-063</t>
  </si>
  <si>
    <t>V-064</t>
  </si>
  <si>
    <t>C-082</t>
  </si>
  <si>
    <t>V-065</t>
  </si>
  <si>
    <t>C-035</t>
  </si>
  <si>
    <t>V-066</t>
  </si>
  <si>
    <t>C-059</t>
  </si>
  <si>
    <t>V-067</t>
  </si>
  <si>
    <t>V-068</t>
  </si>
  <si>
    <t>V-069</t>
  </si>
  <si>
    <t>C-007</t>
  </si>
  <si>
    <t>V-070</t>
  </si>
  <si>
    <t>C-090</t>
  </si>
  <si>
    <t>V-071</t>
  </si>
  <si>
    <t>V-072</t>
  </si>
  <si>
    <t>V-073</t>
  </si>
  <si>
    <t>V-074</t>
  </si>
  <si>
    <t>V-075</t>
  </si>
  <si>
    <t>V-076</t>
  </si>
  <si>
    <t>V-077</t>
  </si>
  <si>
    <t>V-078</t>
  </si>
  <si>
    <t>V-079</t>
  </si>
  <si>
    <t>V-080</t>
  </si>
  <si>
    <t>V-081</t>
  </si>
  <si>
    <t>V-082</t>
  </si>
  <si>
    <t>V-083</t>
  </si>
  <si>
    <t>V-084</t>
  </si>
  <si>
    <t>V-085</t>
  </si>
  <si>
    <t>V-086</t>
  </si>
  <si>
    <t>V-087</t>
  </si>
  <si>
    <t>V-089</t>
  </si>
  <si>
    <t>V-090</t>
  </si>
  <si>
    <t>V-091</t>
  </si>
  <si>
    <t>V-092</t>
  </si>
  <si>
    <t>V-093</t>
  </si>
  <si>
    <t>V-094</t>
  </si>
  <si>
    <t>V-095</t>
  </si>
  <si>
    <t>V-096</t>
  </si>
  <si>
    <t>V-097</t>
  </si>
  <si>
    <t>V-098</t>
  </si>
  <si>
    <t>V-099</t>
  </si>
  <si>
    <t>V-100</t>
  </si>
  <si>
    <t>Canal_Adquisicion</t>
  </si>
  <si>
    <t>Costo_Adquisicion_CAC</t>
  </si>
  <si>
    <t>Fecha_Registro</t>
  </si>
  <si>
    <t>Trimestre_Registro</t>
  </si>
  <si>
    <t>C-001</t>
  </si>
  <si>
    <t>Google Ads</t>
  </si>
  <si>
    <t>2025-T1</t>
  </si>
  <si>
    <t>Facebook Ads</t>
  </si>
  <si>
    <t>Orgánico</t>
  </si>
  <si>
    <t>Influencers</t>
  </si>
  <si>
    <t>C-006</t>
  </si>
  <si>
    <t>C-010</t>
  </si>
  <si>
    <t>C-013</t>
  </si>
  <si>
    <t>C-016</t>
  </si>
  <si>
    <t>C-017</t>
  </si>
  <si>
    <t>C-020</t>
  </si>
  <si>
    <t>C-021</t>
  </si>
  <si>
    <t>C-023</t>
  </si>
  <si>
    <t>C-025</t>
  </si>
  <si>
    <t>C-026</t>
  </si>
  <si>
    <t>2025-T2</t>
  </si>
  <si>
    <t>C-028</t>
  </si>
  <si>
    <t>C-030</t>
  </si>
  <si>
    <t>C-032</t>
  </si>
  <si>
    <t>C-034</t>
  </si>
  <si>
    <t>C-036</t>
  </si>
  <si>
    <t>C-038</t>
  </si>
  <si>
    <t>C-040</t>
  </si>
  <si>
    <t>C-042</t>
  </si>
  <si>
    <t>C-043</t>
  </si>
  <si>
    <t>C-045</t>
  </si>
  <si>
    <t>C-046</t>
  </si>
  <si>
    <t>C-047</t>
  </si>
  <si>
    <t>C-048</t>
  </si>
  <si>
    <t>C-049</t>
  </si>
  <si>
    <t>2025-T3</t>
  </si>
  <si>
    <t>C-052</t>
  </si>
  <si>
    <t>C-054</t>
  </si>
  <si>
    <t>C-056</t>
  </si>
  <si>
    <t>C-058</t>
  </si>
  <si>
    <t>C-060</t>
  </si>
  <si>
    <t>C-063</t>
  </si>
  <si>
    <t>C-065</t>
  </si>
  <si>
    <t>C-067</t>
  </si>
  <si>
    <t>C-069</t>
  </si>
  <si>
    <t>C-072</t>
  </si>
  <si>
    <t>C-074</t>
  </si>
  <si>
    <t>2025-T4</t>
  </si>
  <si>
    <t>C-076</t>
  </si>
  <si>
    <t>C-078</t>
  </si>
  <si>
    <t>C-080</t>
  </si>
  <si>
    <t>C-084</t>
  </si>
  <si>
    <t>C-086</t>
  </si>
  <si>
    <t>C-087</t>
  </si>
  <si>
    <t>C-093</t>
  </si>
  <si>
    <t>C-095</t>
  </si>
  <si>
    <t>C-096</t>
  </si>
  <si>
    <t>C-098</t>
  </si>
  <si>
    <t>C-099</t>
  </si>
  <si>
    <t>C-100</t>
  </si>
  <si>
    <t>ID_Gasto</t>
  </si>
  <si>
    <t>Categoria_Gasto</t>
  </si>
  <si>
    <t>Monto_Gasto</t>
  </si>
  <si>
    <t>Responsable</t>
  </si>
  <si>
    <t>Descripcion</t>
  </si>
  <si>
    <t>G-001</t>
  </si>
  <si>
    <t>Nómina Fija</t>
  </si>
  <si>
    <t>Recursos Humanos</t>
  </si>
  <si>
    <t>Salarios del equipo base</t>
  </si>
  <si>
    <t>G-002</t>
  </si>
  <si>
    <t>Software y SaaS</t>
  </si>
  <si>
    <t>Licencias de AWS y ERP</t>
  </si>
  <si>
    <t>G-003</t>
  </si>
  <si>
    <t>Alquiler y Oficinas</t>
  </si>
  <si>
    <t>Operaciones</t>
  </si>
  <si>
    <t>Renta de oficinas centrales</t>
  </si>
  <si>
    <t>G-004</t>
  </si>
  <si>
    <t>Gastos Legales</t>
  </si>
  <si>
    <t>Finanzas</t>
  </si>
  <si>
    <t>Asesoría contable trimestral</t>
  </si>
  <si>
    <t>G-005</t>
  </si>
  <si>
    <t>Salarios con incremento de personal</t>
  </si>
  <si>
    <t>G-006</t>
  </si>
  <si>
    <t>Upgrades de herramientas BI</t>
  </si>
  <si>
    <t>G-007</t>
  </si>
  <si>
    <t>G-008</t>
  </si>
  <si>
    <t>Logística</t>
  </si>
  <si>
    <t>Ajustes de almacén e inventario</t>
  </si>
  <si>
    <t>G-009</t>
  </si>
  <si>
    <t>G-010</t>
  </si>
  <si>
    <t>Licencias extras CRM</t>
  </si>
  <si>
    <t>G-011</t>
  </si>
  <si>
    <t>G-012</t>
  </si>
  <si>
    <t>G-013</t>
  </si>
  <si>
    <t>G-014</t>
  </si>
  <si>
    <t>G-015</t>
  </si>
  <si>
    <t>G-016</t>
  </si>
  <si>
    <t>Gastos de Viaje</t>
  </si>
  <si>
    <t>Ventas</t>
  </si>
  <si>
    <t>G-017</t>
  </si>
  <si>
    <t>G-018</t>
  </si>
  <si>
    <t>G-019</t>
  </si>
  <si>
    <t>G-020</t>
  </si>
  <si>
    <t>G-021</t>
  </si>
  <si>
    <t>2025-01</t>
  </si>
  <si>
    <t>Marketing</t>
  </si>
  <si>
    <t>G-022</t>
  </si>
  <si>
    <t>Servicios Públicos</t>
  </si>
  <si>
    <t>Electricidad e internet oficina</t>
  </si>
  <si>
    <t>G-023</t>
  </si>
  <si>
    <t>Soporte IT</t>
  </si>
  <si>
    <t>G-024</t>
  </si>
  <si>
    <t>G-025</t>
  </si>
  <si>
    <t>2025-02</t>
  </si>
  <si>
    <t>G-026</t>
  </si>
  <si>
    <t>G-027</t>
  </si>
  <si>
    <t>G-028</t>
  </si>
  <si>
    <t>G-029</t>
  </si>
  <si>
    <t>2025-03</t>
  </si>
  <si>
    <t>G-030</t>
  </si>
  <si>
    <t>G-031</t>
  </si>
  <si>
    <t>G-032</t>
  </si>
  <si>
    <t>G-033</t>
  </si>
  <si>
    <t>2025-04</t>
  </si>
  <si>
    <t>G-034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</si>
  <si>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</si>
  <si>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</si>
  <si>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</si>
  <si>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</si>
  <si>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</si>
  <si>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</si>
  <si>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</si>
  <si>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</si>
  <si>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Campañas activas redes sociales</t>
  </si>
  <si>
    <t>Upgrade parches seguridad del sistema</t>
  </si>
  <si>
    <t>Prospección de clientes corporativos</t>
  </si>
  <si>
    <t>Licencias Creativas</t>
  </si>
  <si>
    <t>Adobe Creative Cloud team</t>
  </si>
  <si>
    <t>Mantenimiento web</t>
  </si>
  <si>
    <t>Ajustes de UI/UX pasarela comercial</t>
  </si>
  <si>
    <t>Año</t>
  </si>
  <si>
    <t>ID_Mes</t>
  </si>
  <si>
    <t>Marketing Corp</t>
  </si>
  <si>
    <t>Material pop y branding ferias</t>
  </si>
  <si>
    <t>Salarios con bonos navideños anticipados</t>
  </si>
  <si>
    <t>Renovación anual de dominios y hosting</t>
  </si>
  <si>
    <t>Renta de oficinas centrales e inflación</t>
  </si>
  <si>
    <t>Campaña de distribución fin de año</t>
  </si>
  <si>
    <t>Salarios Administrativos</t>
  </si>
  <si>
    <t>Alquiler de Oficinas</t>
  </si>
  <si>
    <t>Servicios Públicos y Conectividad</t>
  </si>
  <si>
    <t>Herramientas de Software y Licencias (SaaS)</t>
  </si>
  <si>
    <t>Gastos Legales y Contabilidad</t>
  </si>
  <si>
    <t>Mantenimiento y Limpieza</t>
  </si>
  <si>
    <t>Proveedor externo de aseo</t>
  </si>
  <si>
    <t>Amortizaciones y Depreciaciones</t>
  </si>
  <si>
    <t>Desgaste mensual de activos fijos</t>
  </si>
  <si>
    <t>Consultoría de Marketing</t>
  </si>
  <si>
    <t>ID_Producto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</si>
  <si>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</si>
  <si>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</si>
  <si>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</si>
  <si>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</si>
  <si>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</si>
  <si>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</si>
  <si>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</si>
  <si>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</si>
  <si>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</si>
  <si>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</si>
  <si>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</si>
  <si>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</si>
  <si>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</si>
  <si>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</si>
  <si>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</si>
  <si>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</si>
  <si>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</si>
  <si>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</si>
  <si>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</si>
  <si>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</si>
  <si>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</si>
  <si>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</si>
  <si>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</si>
  <si>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</si>
  <si>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</si>
  <si>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</si>
  <si>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</si>
  <si>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</si>
  <si>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</si>
  <si>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</si>
  <si>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</si>
  <si>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</si>
  <si>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</si>
  <si>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</si>
  <si>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</si>
  <si>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</si>
  <si>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</si>
  <si>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</si>
  <si>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</si>
  <si>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</si>
  <si>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</si>
  <si>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</si>
  <si>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</si>
  <si>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</si>
  <si>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</si>
  <si>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</si>
  <si>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</si>
  <si>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</si>
  <si>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</si>
  <si>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</si>
  <si>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P-051</t>
  </si>
  <si>
    <t>P-052</t>
  </si>
  <si>
    <t>P-053</t>
  </si>
  <si>
    <t>P-054</t>
  </si>
  <si>
    <t>P-055</t>
  </si>
  <si>
    <t>P-056</t>
  </si>
  <si>
    <t>P-057</t>
  </si>
  <si>
    <t>P-058</t>
  </si>
  <si>
    <t>P-059</t>
  </si>
  <si>
    <t>P-060</t>
  </si>
  <si>
    <t>P-061</t>
  </si>
  <si>
    <t>P-062</t>
  </si>
  <si>
    <t>P-063</t>
  </si>
  <si>
    <t>P-064</t>
  </si>
  <si>
    <t>P-065</t>
  </si>
  <si>
    <t>P-066</t>
  </si>
  <si>
    <t>P-067</t>
  </si>
  <si>
    <t>P-068</t>
  </si>
  <si>
    <t>P-069</t>
  </si>
  <si>
    <t>P-070</t>
  </si>
  <si>
    <t>P-071</t>
  </si>
  <si>
    <t>P-072</t>
  </si>
  <si>
    <t>P-073</t>
  </si>
  <si>
    <t>P-074</t>
  </si>
  <si>
    <t>P-075</t>
  </si>
  <si>
    <t>P-076</t>
  </si>
  <si>
    <t>P-077</t>
  </si>
  <si>
    <t>P-078</t>
  </si>
  <si>
    <t>P-079</t>
  </si>
  <si>
    <t>P-080</t>
  </si>
  <si>
    <t>P-081</t>
  </si>
  <si>
    <t>P-082</t>
  </si>
  <si>
    <t>P-083</t>
  </si>
  <si>
    <t>P-084</t>
  </si>
  <si>
    <t>P-085</t>
  </si>
  <si>
    <t>P-086</t>
  </si>
  <si>
    <t>P-087</t>
  </si>
  <si>
    <t>P-088</t>
  </si>
  <si>
    <t>P-089</t>
  </si>
  <si>
    <t>P-090</t>
  </si>
  <si>
    <t>P-091</t>
  </si>
  <si>
    <t>P-092</t>
  </si>
  <si>
    <t>P-093</t>
  </si>
  <si>
    <t>P-094</t>
  </si>
  <si>
    <t>P-095</t>
  </si>
  <si>
    <t>P-096</t>
  </si>
  <si>
    <t>P-097</t>
  </si>
  <si>
    <t>P-098</t>
  </si>
  <si>
    <t>P-099</t>
  </si>
  <si>
    <t>P-100</t>
  </si>
  <si>
    <t>Nombre_Mes</t>
  </si>
  <si>
    <t>Enero</t>
  </si>
  <si>
    <t>Febrero</t>
  </si>
  <si>
    <t>Marzo</t>
  </si>
  <si>
    <t>Abril</t>
  </si>
  <si>
    <t>Trimestre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</si>
  <si>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</si>
  <si>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</si>
  <si>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</si>
  <si>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</si>
  <si>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</si>
  <si>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</si>
  <si>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</si>
  <si>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</si>
  <si>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Etiquetas de fila</t>
  </si>
  <si>
    <t>Total general</t>
  </si>
  <si>
    <t>Total_Ingresos</t>
  </si>
  <si>
    <t>Total_Costo_Directo</t>
  </si>
  <si>
    <t>Margen_Bruto</t>
  </si>
  <si>
    <t>EBITDA</t>
  </si>
  <si>
    <t>Margen_Neto</t>
  </si>
  <si>
    <t>Porcentaje_Margen_Bruto</t>
  </si>
  <si>
    <t>Total_CAC</t>
  </si>
  <si>
    <t>LTV</t>
  </si>
  <si>
    <t>ROI</t>
  </si>
  <si>
    <t>Mes</t>
  </si>
  <si>
    <t>Día</t>
  </si>
  <si>
    <t>LTV:CAC</t>
  </si>
  <si>
    <t>Total_Gastos_Ops</t>
  </si>
  <si>
    <t xml:space="preserve"> A CONTINUACIÓN SE ENCUENTRAN TODAS LAS TABLAS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</si>
</sst>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0.00\ %;\-0.00\ %;0.00\ %"/>
    <numFmt numFmtId="165" formatCode="&quot;$&quot;\ #,##0.00"/>
    <numFmt numFmtId="166" formatCode="0.000"/>
    <numFmt numFmtId="167" formatCode="&quot;$&quot;\ #,##0"/>
    <numFmt numFmtId="168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14" fontId="1" fillId="0" borderId="8" xfId="0" applyNumberFormat="1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65" fontId="2" fillId="0" borderId="5" xfId="0" applyNumberFormat="1" applyFont="1" applyBorder="1" applyAlignment="1">
      <alignment horizontal="left" vertical="center" wrapText="1" indent="1" readingOrder="1"/>
    </xf>
    <xf numFmtId="165" fontId="1" fillId="0" borderId="1" xfId="0" applyNumberFormat="1" applyFont="1" applyBorder="1" applyAlignment="1">
      <alignment horizontal="left" vertical="center" wrapText="1" indent="1" readingOrder="1"/>
    </xf>
    <xf numFmtId="165" fontId="1" fillId="0" borderId="8" xfId="0" applyNumberFormat="1" applyFont="1" applyBorder="1" applyAlignment="1">
      <alignment horizontal="left" vertical="center" wrapText="1" indent="1" readingOrder="1"/>
    </xf>
    <xf numFmtId="10" fontId="0" fillId="0" borderId="0" xfId="0" applyNumberFormat="1"/>
    <xf numFmtId="44" fontId="0" fillId="0" borderId="0" xfId="0" applyNumberFormat="1"/>
    <xf numFmtId="165" fontId="0" fillId="3" borderId="0" xfId="0" applyNumberFormat="1" applyFill="1"/>
    <xf numFmtId="10" fontId="0" fillId="3" borderId="0" xfId="0" applyNumberFormat="1" applyFill="1"/>
    <xf numFmtId="42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  <xf numFmtId="168" fontId="0" fillId="0" borderId="0" xfId="0" applyNumberFormat="1"/>
    <xf numFmtId="168" fontId="0" fillId="3" borderId="0" xfId="1" applyNumberFormat="1" applyFont="1" applyFill="1"/>
    <xf numFmtId="0" fontId="5" fillId="4" borderId="0" xfId="0" applyFont="1" applyFill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numFmt numFmtId="19" formatCode="d/mm/yyyy"/>
    </dxf>
    <dxf>
      <numFmt numFmtId="165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/mm/yyyy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5" formatCode="&quot;$&quot;\ #,##0.00"/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numFmt numFmtId="165" formatCode="&quot;$&quot;\ #,##0.00"/>
    </dxf>
    <dxf>
      <numFmt numFmtId="165" formatCode="&quot;$&quot;\ #,##0.00"/>
    </dxf>
    <dxf>
      <numFmt numFmtId="19" formatCode="d/mm/yyyy"/>
    </dxf>
    <dxf>
      <numFmt numFmtId="166" formatCode="0.000"/>
    </dxf>
    <dxf>
      <numFmt numFmtId="166" formatCode="0.000"/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65" formatCode="&quot;$&quot;\ #,##0.00"/>
    </dxf>
    <dxf>
      <numFmt numFmtId="168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67" formatCode="&quot;$&quot;\ #,##0"/>
    </dxf>
    <dxf>
      <numFmt numFmtId="32" formatCode="_-&quot;$&quot;\ * #,##0_-;\-&quot;$&quot;\ * #,##0_-;_-&quot;$&quot;\ * &quot;-&quot;_-;_-@_-"/>
    </dxf>
    <dxf>
      <numFmt numFmtId="1" formatCode="0"/>
    </dxf>
    <dxf>
      <numFmt numFmtId="167" formatCode="&quot;$&quot;\ #,##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4" formatCode="0.00%"/>
    </dxf>
    <dxf>
      <numFmt numFmtId="14" formatCode="0.00%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microsoft.com/office/2007/relationships/slicerCache" Target="slicerCaches/slicerCache3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tyles" Target="style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2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8" Type="http://schemas.openxmlformats.org/officeDocument/2006/relationships/customXml" Target="../customXml/item34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7.xml"/><Relationship Id="rId19" Type="http://schemas.openxmlformats.org/officeDocument/2006/relationships/theme" Target="theme/theme1.xml"/><Relationship Id="rId14" Type="http://schemas.openxmlformats.org/officeDocument/2006/relationships/pivotCacheDefinition" Target="pivotCache/pivotCacheDefinition5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7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2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59" Type="http://schemas.openxmlformats.org/officeDocument/2006/relationships/customXml" Target="../customXml/item35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62" Type="http://schemas.openxmlformats.org/officeDocument/2006/relationships/customXml" Target="../customXml/item3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6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1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Relationship Id="rId60" Type="http://schemas.openxmlformats.org/officeDocument/2006/relationships/customXml" Target="../customXml/item3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[Proyecto.xlsx]Dashboard_Procesamiento!TablaDinámica1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cap="none" baseline="0">
                <a:solidFill>
                  <a:sysClr val="windowText" lastClr="000000"/>
                </a:solidFill>
              </a:rPr>
              <a:t>TENDENCIAS MENSUALES INGRESO vs. EBITDA</a:t>
            </a:r>
            <a:endParaRPr lang="es-CO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 w="9525" cap="flat" cmpd="sng" algn="ctr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tx1"/>
            </a:soli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5875" cap="rnd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tx1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</c:pivotFmt>
      <c:pivotFmt>
        <c:idx val="9"/>
        <c:spPr>
          <a:ln w="15875" cap="rnd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tx1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</c:pivotFmt>
      <c:pivotFmt>
        <c:idx val="10"/>
        <c:spPr>
          <a:ln w="15875" cap="rnd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tx1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Dashboard_Procesamiento!$J$2</c:f>
              <c:strCache>
                <c:ptCount val="1"/>
                <c:pt idx="0">
                  <c:v>Total_Ingresos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invertIfNegative val="0"/>
          <c:cat>
            <c:strRef>
              <c:f>Dashboard_Procesamiento!$I$3:$I$7</c:f>
              <c:strCache>
                <c:ptCount val="4"/>
                <c:pt idx="0">
                  <c:v>2025-T1</c:v>
                </c:pt>
                <c:pt idx="1">
                  <c:v>2025-T2</c:v>
                </c:pt>
                <c:pt idx="2">
                  <c:v>2025-T3</c:v>
                </c:pt>
                <c:pt idx="3">
                  <c:v>2025-T4</c:v>
                </c:pt>
              </c:strCache>
            </c:strRef>
          </c:cat>
          <c:val>
            <c:numRef>
              <c:f>Dashboard_Procesamiento!$J$3:$J$7</c:f>
              <c:numCache>
                <c:formatCode>_("$"* #,##0.00_);_("$"* \(#,##0.00\);_("$"* "-"??_);_(@_)</c:formatCode>
                <c:ptCount val="4"/>
                <c:pt idx="0">
                  <c:v>9155</c:v>
                </c:pt>
                <c:pt idx="1">
                  <c:v>8050</c:v>
                </c:pt>
                <c:pt idx="2">
                  <c:v>4880</c:v>
                </c:pt>
                <c:pt idx="3">
                  <c:v>4010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4-4BE5-BDAA-28D8B4C5B43C}"/>
            </c:ext>
          </c:extLst>
        </c:ser>
        <c:ser>
          <c:idx val="1"/>
          <c:order val="1"/>
          <c:tx>
            <c:strRef>
              <c:f>Dashboard_Procesamiento!$K$2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9525" cap="flat" cmpd="sng" algn="ctr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invertIfNegative val="0"/>
          <c:cat>
            <c:strRef>
              <c:f>Dashboard_Procesamiento!$I$3:$I$7</c:f>
              <c:strCache>
                <c:ptCount val="4"/>
                <c:pt idx="0">
                  <c:v>2025-T1</c:v>
                </c:pt>
                <c:pt idx="1">
                  <c:v>2025-T2</c:v>
                </c:pt>
                <c:pt idx="2">
                  <c:v>2025-T3</c:v>
                </c:pt>
                <c:pt idx="3">
                  <c:v>2025-T4</c:v>
                </c:pt>
              </c:strCache>
            </c:strRef>
          </c:cat>
          <c:val>
            <c:numRef>
              <c:f>Dashboard_Procesamiento!$K$3:$K$7</c:f>
              <c:numCache>
                <c:formatCode>_("$"* #,##0.00_);_("$"* \(#,##0.00\);_("$"* "-"??_);_(@_)</c:formatCode>
                <c:ptCount val="4"/>
                <c:pt idx="0">
                  <c:v>229</c:v>
                </c:pt>
                <c:pt idx="1">
                  <c:v>1157</c:v>
                </c:pt>
                <c:pt idx="2">
                  <c:v>897</c:v>
                </c:pt>
                <c:pt idx="3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4-4BE5-BDAA-28D8B4C5B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753309216"/>
        <c:axId val="1753309696"/>
      </c:barChart>
      <c:lineChart>
        <c:grouping val="standard"/>
        <c:varyColors val="0"/>
        <c:ser>
          <c:idx val="2"/>
          <c:order val="2"/>
          <c:tx>
            <c:strRef>
              <c:f>Dashboard_Procesamiento!$L$2</c:f>
              <c:strCache>
                <c:ptCount val="1"/>
                <c:pt idx="0">
                  <c:v>Porcentaje_Margen_Bruto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4"/>
              <c:spPr>
                <a:solidFill>
                  <a:schemeClr val="tx1"/>
                </a:solidFill>
                <a:ln w="9525" cap="flat" cmpd="sng" algn="ctr">
                  <a:solidFill>
                    <a:schemeClr val="accent2"/>
                  </a:solidFill>
                  <a:round/>
                </a:ln>
                <a:effectLst/>
              </c:spPr>
            </c:marker>
            <c:bubble3D val="0"/>
            <c:spPr>
              <a:ln w="158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CB-4F0B-BB37-3DA690BBAA04}"/>
              </c:ext>
            </c:extLst>
          </c:dPt>
          <c:dPt>
            <c:idx val="2"/>
            <c:marker>
              <c:symbol val="circle"/>
              <c:size val="4"/>
              <c:spPr>
                <a:solidFill>
                  <a:schemeClr val="tx1"/>
                </a:solidFill>
                <a:ln w="9525" cap="flat" cmpd="sng" algn="ctr">
                  <a:solidFill>
                    <a:schemeClr val="accent2"/>
                  </a:solidFill>
                  <a:round/>
                </a:ln>
                <a:effectLst/>
              </c:spPr>
            </c:marker>
            <c:bubble3D val="0"/>
            <c:spPr>
              <a:ln w="158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8CB-4F0B-BB37-3DA690BBAA04}"/>
              </c:ext>
            </c:extLst>
          </c:dPt>
          <c:dPt>
            <c:idx val="3"/>
            <c:marker>
              <c:symbol val="circle"/>
              <c:size val="4"/>
              <c:spPr>
                <a:solidFill>
                  <a:schemeClr val="tx1"/>
                </a:solidFill>
                <a:ln w="9525" cap="flat" cmpd="sng" algn="ctr">
                  <a:solidFill>
                    <a:schemeClr val="accent2"/>
                  </a:solidFill>
                  <a:round/>
                </a:ln>
                <a:effectLst/>
              </c:spPr>
            </c:marker>
            <c:bubble3D val="0"/>
            <c:spPr>
              <a:ln w="158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CB-4F0B-BB37-3DA690BBAA04}"/>
              </c:ext>
            </c:extLst>
          </c:dPt>
          <c:cat>
            <c:strRef>
              <c:f>Dashboard_Procesamiento!$I$3:$I$7</c:f>
              <c:strCache>
                <c:ptCount val="4"/>
                <c:pt idx="0">
                  <c:v>2025-T1</c:v>
                </c:pt>
                <c:pt idx="1">
                  <c:v>2025-T2</c:v>
                </c:pt>
                <c:pt idx="2">
                  <c:v>2025-T3</c:v>
                </c:pt>
                <c:pt idx="3">
                  <c:v>2025-T4</c:v>
                </c:pt>
              </c:strCache>
            </c:strRef>
          </c:cat>
          <c:val>
            <c:numRef>
              <c:f>Dashboard_Procesamiento!$L$3:$L$7</c:f>
              <c:numCache>
                <c:formatCode>0.00\ %;\-0.00\ %;0.00\ %</c:formatCode>
                <c:ptCount val="4"/>
                <c:pt idx="0">
                  <c:v>0.59836155106499178</c:v>
                </c:pt>
                <c:pt idx="1">
                  <c:v>0.60099378881987575</c:v>
                </c:pt>
                <c:pt idx="2">
                  <c:v>0.6</c:v>
                </c:pt>
                <c:pt idx="3">
                  <c:v>0.60024937655860344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B-4F0B-BB37-3DA690BBA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429887"/>
        <c:axId val="999427487"/>
      </c:lineChart>
      <c:catAx>
        <c:axId val="175330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53309696"/>
        <c:crosses val="autoZero"/>
        <c:auto val="1"/>
        <c:lblAlgn val="ctr"/>
        <c:lblOffset val="100"/>
        <c:noMultiLvlLbl val="0"/>
      </c:catAx>
      <c:valAx>
        <c:axId val="1753309696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53309216"/>
        <c:crosses val="autoZero"/>
        <c:crossBetween val="between"/>
      </c:valAx>
      <c:valAx>
        <c:axId val="999427487"/>
        <c:scaling>
          <c:orientation val="minMax"/>
        </c:scaling>
        <c:delete val="0"/>
        <c:axPos val="r"/>
        <c:numFmt formatCode="0.00\ %;\-0.00\ %;0.00\ 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9429887"/>
        <c:crosses val="max"/>
        <c:crossBetween val="between"/>
      </c:valAx>
      <c:catAx>
        <c:axId val="9994298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942748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schemeClr val="bg1">
          <a:alpha val="40000"/>
        </a:schemeClr>
      </a:outerShdw>
      <a:softEdge rad="31750"/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[Proyecto.xlsx]Dashboard_Procesamiento!TD_Marketing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ysClr val="windowText" lastClr="000000"/>
                </a:solidFill>
              </a:rPr>
              <a:t>RENDIMIENTOS</a:t>
            </a:r>
            <a:r>
              <a:rPr lang="es-CO" b="1" baseline="0">
                <a:solidFill>
                  <a:sysClr val="windowText" lastClr="000000"/>
                </a:solidFill>
              </a:rPr>
              <a:t> DE CANALES</a:t>
            </a:r>
            <a:endParaRPr lang="es-CO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Dashboard_Procesamiento!$B$34</c:f>
              <c:strCache>
                <c:ptCount val="1"/>
                <c:pt idx="0">
                  <c:v>Total_CAC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Dashboard_Procesamiento!$A$35:$A$39</c:f>
              <c:strCache>
                <c:ptCount val="4"/>
                <c:pt idx="0">
                  <c:v>Facebook Ads</c:v>
                </c:pt>
                <c:pt idx="1">
                  <c:v>Google Ads</c:v>
                </c:pt>
                <c:pt idx="2">
                  <c:v>Influencers</c:v>
                </c:pt>
                <c:pt idx="3">
                  <c:v>Orgánico</c:v>
                </c:pt>
              </c:strCache>
            </c:strRef>
          </c:cat>
          <c:val>
            <c:numRef>
              <c:f>Dashboard_Procesamiento!$B$35:$B$39</c:f>
              <c:numCache>
                <c:formatCode>_("$"* #,##0_);_("$"* \(#,##0\);_("$"* "-"_);_(@_)</c:formatCode>
                <c:ptCount val="4"/>
                <c:pt idx="0">
                  <c:v>1350</c:v>
                </c:pt>
                <c:pt idx="1">
                  <c:v>1350</c:v>
                </c:pt>
                <c:pt idx="2">
                  <c:v>1575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3-4930-A02D-0A459E833324}"/>
            </c:ext>
          </c:extLst>
        </c:ser>
        <c:ser>
          <c:idx val="1"/>
          <c:order val="1"/>
          <c:tx>
            <c:strRef>
              <c:f>Dashboard_Procesamiento!$C$34</c:f>
              <c:strCache>
                <c:ptCount val="1"/>
                <c:pt idx="0">
                  <c:v>LTV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</c:spPr>
          <c:invertIfNegative val="0"/>
          <c:cat>
            <c:strRef>
              <c:f>Dashboard_Procesamiento!$A$35:$A$39</c:f>
              <c:strCache>
                <c:ptCount val="4"/>
                <c:pt idx="0">
                  <c:v>Facebook Ads</c:v>
                </c:pt>
                <c:pt idx="1">
                  <c:v>Google Ads</c:v>
                </c:pt>
                <c:pt idx="2">
                  <c:v>Influencers</c:v>
                </c:pt>
                <c:pt idx="3">
                  <c:v>Orgánico</c:v>
                </c:pt>
              </c:strCache>
            </c:strRef>
          </c:cat>
          <c:val>
            <c:numRef>
              <c:f>Dashboard_Procesamiento!$C$35:$C$39</c:f>
              <c:numCache>
                <c:formatCode>_("$"* #,##0_);_("$"* \(#,##0\);_("$"* "-"_);_(@_)</c:formatCode>
                <c:ptCount val="4"/>
                <c:pt idx="0">
                  <c:v>306.42857142857144</c:v>
                </c:pt>
                <c:pt idx="1">
                  <c:v>339</c:v>
                </c:pt>
                <c:pt idx="2">
                  <c:v>420.66666666666669</c:v>
                </c:pt>
                <c:pt idx="3">
                  <c:v>286.76470588235293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3-4930-A02D-0A459E833324}"/>
            </c:ext>
          </c:extLst>
        </c:ser>
        <c:ser>
          <c:idx val="2"/>
          <c:order val="2"/>
          <c:tx>
            <c:strRef>
              <c:f>Dashboard_Procesamiento!$D$34</c:f>
              <c:strCache>
                <c:ptCount val="1"/>
                <c:pt idx="0">
                  <c:v>LTV:CAC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Dashboard_Procesamiento!$A$35:$A$39</c:f>
              <c:strCache>
                <c:ptCount val="4"/>
                <c:pt idx="0">
                  <c:v>Facebook Ads</c:v>
                </c:pt>
                <c:pt idx="1">
                  <c:v>Google Ads</c:v>
                </c:pt>
                <c:pt idx="2">
                  <c:v>Influencers</c:v>
                </c:pt>
                <c:pt idx="3">
                  <c:v>Orgánico</c:v>
                </c:pt>
              </c:strCache>
            </c:strRef>
          </c:cat>
          <c:val>
            <c:numRef>
              <c:f>Dashboard_Procesamiento!$D$35:$D$39</c:f>
              <c:numCache>
                <c:formatCode>"$"\ #,##0.00</c:formatCode>
                <c:ptCount val="4"/>
                <c:pt idx="0">
                  <c:v>6.128571428571429</c:v>
                </c:pt>
                <c:pt idx="1">
                  <c:v>7.5333333333333332</c:v>
                </c:pt>
                <c:pt idx="2">
                  <c:v>5.608888888888889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63-4930-A02D-0A459E833324}"/>
            </c:ext>
          </c:extLst>
        </c:ser>
        <c:ser>
          <c:idx val="3"/>
          <c:order val="3"/>
          <c:tx>
            <c:strRef>
              <c:f>Dashboard_Procesamiento!$E$34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Dashboard_Procesamiento!$A$35:$A$39</c:f>
              <c:strCache>
                <c:ptCount val="4"/>
                <c:pt idx="0">
                  <c:v>Facebook Ads</c:v>
                </c:pt>
                <c:pt idx="1">
                  <c:v>Google Ads</c:v>
                </c:pt>
                <c:pt idx="2">
                  <c:v>Influencers</c:v>
                </c:pt>
                <c:pt idx="3">
                  <c:v>Orgánico</c:v>
                </c:pt>
              </c:strCache>
            </c:strRef>
          </c:cat>
          <c:val>
            <c:numRef>
              <c:f>Dashboard_Procesamiento!$E$35:$E$39</c:f>
              <c:numCache>
                <c:formatCode>0.000</c:formatCode>
                <c:ptCount val="4"/>
                <c:pt idx="0">
                  <c:v>1.8511111111111112</c:v>
                </c:pt>
                <c:pt idx="1">
                  <c:v>2.7422222222222223</c:v>
                </c:pt>
                <c:pt idx="2">
                  <c:v>1.4063492063492065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63-4930-A02D-0A459E833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468287"/>
        <c:axId val="999466367"/>
      </c:barChart>
      <c:catAx>
        <c:axId val="99946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9466367"/>
        <c:crosses val="autoZero"/>
        <c:auto val="1"/>
        <c:lblAlgn val="ctr"/>
        <c:lblOffset val="100"/>
        <c:noMultiLvlLbl val="0"/>
      </c:catAx>
      <c:valAx>
        <c:axId val="999466367"/>
        <c:scaling>
          <c:orientation val="minMax"/>
        </c:scaling>
        <c:delete val="0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9468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schemeClr val="bg1">
          <a:alpha val="40000"/>
        </a:schemeClr>
      </a:outerShdw>
      <a:softEdge rad="12700"/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[Proyecto.xlsx]Dashboard_Procesamiento!Productos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Porcentaje</a:t>
            </a:r>
            <a:r>
              <a:rPr lang="en-US" baseline="0">
                <a:solidFill>
                  <a:sysClr val="windowText" lastClr="000000"/>
                </a:solidFill>
              </a:rPr>
              <a:t> de los productos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Dashboard_Procesamiento!$B$22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F9-42B6-AF09-98FED4A77D0D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F9-42B6-AF09-98FED4A77D0D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1F9-42B6-AF09-98FED4A77D0D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1F9-42B6-AF09-98FED4A77D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Dashboard_Procesamiento!$A$23:$A$27</c:f>
              <c:strCache>
                <c:ptCount val="4"/>
                <c:pt idx="0">
                  <c:v>Deportes</c:v>
                </c:pt>
                <c:pt idx="1">
                  <c:v>Hogar</c:v>
                </c:pt>
                <c:pt idx="2">
                  <c:v>Moda</c:v>
                </c:pt>
                <c:pt idx="3">
                  <c:v>Tecnología</c:v>
                </c:pt>
              </c:strCache>
            </c:strRef>
          </c:cat>
          <c:val>
            <c:numRef>
              <c:f>Dashboard_Procesamiento!$B$23:$B$27</c:f>
              <c:numCache>
                <c:formatCode>0.00\ %;\-0.00\ %;0.00\ %</c:formatCode>
                <c:ptCount val="4"/>
                <c:pt idx="0">
                  <c:v>0.54991150442477876</c:v>
                </c:pt>
                <c:pt idx="1">
                  <c:v>0.6</c:v>
                </c:pt>
                <c:pt idx="2">
                  <c:v>0.70109489051094886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F9-42B6-AF09-98FED4A77D0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schemeClr val="bg1">
          <a:alpha val="40000"/>
        </a:schemeClr>
      </a:outerShdw>
      <a:softEdge rad="12700"/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[Proyecto.xlsx]Dashboard_Procesamiento!TD_Gastos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EFICIENCIA</a:t>
            </a:r>
            <a:r>
              <a:rPr lang="en-US" b="1" baseline="0">
                <a:solidFill>
                  <a:sysClr val="windowText" lastClr="000000"/>
                </a:solidFill>
              </a:rPr>
              <a:t> OPERATIVA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Dashboard_Procesamiento!$J$11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Dashboard_Procesamiento!$I$12:$I$18</c:f>
              <c:strCache>
                <c:ptCount val="6"/>
                <c:pt idx="0">
                  <c:v>Operaciones</c:v>
                </c:pt>
                <c:pt idx="1">
                  <c:v>Recursos Humanos</c:v>
                </c:pt>
                <c:pt idx="2">
                  <c:v>Marketing</c:v>
                </c:pt>
                <c:pt idx="3">
                  <c:v>Tecnología</c:v>
                </c:pt>
                <c:pt idx="4">
                  <c:v>Finanzas</c:v>
                </c:pt>
                <c:pt idx="5">
                  <c:v>Ventas</c:v>
                </c:pt>
              </c:strCache>
            </c:strRef>
          </c:cat>
          <c:val>
            <c:numRef>
              <c:f>Dashboard_Procesamiento!$J$12:$J$18</c:f>
              <c:numCache>
                <c:formatCode>_-"$"\ * #,##0_-;\-"$"\ * #,##0_-;_-"$"\ * "-"??_-;_-@_-</c:formatCode>
                <c:ptCount val="6"/>
                <c:pt idx="0">
                  <c:v>6906</c:v>
                </c:pt>
                <c:pt idx="1">
                  <c:v>2874</c:v>
                </c:pt>
                <c:pt idx="2">
                  <c:v>1755</c:v>
                </c:pt>
                <c:pt idx="3">
                  <c:v>611</c:v>
                </c:pt>
                <c:pt idx="4">
                  <c:v>573</c:v>
                </c:pt>
                <c:pt idx="5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A9-451C-A215-6E6474BB8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9453407"/>
        <c:axId val="999471167"/>
      </c:barChart>
      <c:catAx>
        <c:axId val="99945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9471167"/>
        <c:crosses val="autoZero"/>
        <c:auto val="1"/>
        <c:lblAlgn val="ctr"/>
        <c:lblOffset val="100"/>
        <c:noMultiLvlLbl val="0"/>
      </c:catAx>
      <c:valAx>
        <c:axId val="999471167"/>
        <c:scaling>
          <c:orientation val="minMax"/>
        </c:scaling>
        <c:delete val="1"/>
        <c:axPos val="b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99945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schemeClr val="bg1">
          <a:alpha val="40000"/>
        </a:schemeClr>
      </a:outerShdw>
      <a:softEdge rad="12700"/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353060</xdr:colOff>
      <xdr:row>0</xdr:row>
      <xdr:rowOff>0</xdr:rowOff>
    </xdr:from>
    <xdr:to>
      <xdr:col>5</xdr:col>
      <xdr:colOff>299720</xdr:colOff>
      <xdr:row>5</xdr:row>
      <xdr:rowOff>129540</xdr:rowOff>
    </xdr:to>
    <xdr:sp macro="" textlink="Dashboard_Procesamiento!B17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43D8F2B-13C7-A4C7-EAA4-977DB70909CF}"/>
            </a:ext>
          </a:extLst>
        </xdr:cNvPr>
        <xdr:cNvSpPr/>
      </xdr:nvSpPr>
      <xdr:spPr>
        <a:xfrm>
          <a:off x="1940560" y="0"/>
          <a:ext cx="2327910" cy="102912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t>TOTAL DE LOS INGRESOS</a:t>
          </a:r>
        </a:p>
        <a:p>
          <a:pPr algn="ctr"/>
          <a:fld id="{F782A47F-684B-4432-A0DA-C71ACCEA3D1E}" type="TxLink">
            <a:rPr lang="en-US" sz="1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algn="ctr"/>
            <a:t>$ 26.095</a:t>
          </a:fld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441537</xdr:colOff>
      <xdr:row>0</xdr:row>
      <xdr:rowOff>0</xdr:rowOff>
    </xdr:from>
    <xdr:to>
      <xdr:col>9</xdr:col>
      <xdr:colOff>386927</xdr:colOff>
      <xdr:row>5</xdr:row>
      <xdr:rowOff>129540</xdr:rowOff>
    </xdr:to>
    <xdr:sp macro="" textlink="Dashboard_Procesamiento!E17">
      <xdr:nvSpPr>
        <xdr:cNvPr id="3" name="Rectángulo: esquinas redondeadas 2">
          <a:extLst>
            <a:ext uri="{FF2B5EF4-FFF2-40B4-BE49-F238E27FC236}">
              <a16:creationId xmlns:a16="http://schemas.microsoft.com/office/drawing/2014/main" id="{BB3BD2F5-8C6D-4F46-8020-292955133926}"/>
            </a:ext>
          </a:extLst>
        </xdr:cNvPr>
        <xdr:cNvSpPr/>
      </xdr:nvSpPr>
      <xdr:spPr>
        <a:xfrm>
          <a:off x="5204037" y="0"/>
          <a:ext cx="2326640" cy="1029123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EBITDA</a:t>
          </a:r>
        </a:p>
        <a:p>
          <a:pPr algn="ctr"/>
          <a:fld id="{B6F61F93-514F-40AB-8216-F330B7517C46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$ 2.533</a:t>
          </a:fld>
          <a:endParaRPr lang="en-US" sz="1400" b="1"/>
        </a:p>
      </xdr:txBody>
    </xdr:sp>
    <xdr:clientData/>
  </xdr:twoCellAnchor>
  <xdr:twoCellAnchor>
    <xdr:from>
      <xdr:col>10</xdr:col>
      <xdr:colOff>346710</xdr:colOff>
      <xdr:row>0</xdr:row>
      <xdr:rowOff>0</xdr:rowOff>
    </xdr:from>
    <xdr:to>
      <xdr:col>13</xdr:col>
      <xdr:colOff>293370</xdr:colOff>
      <xdr:row>5</xdr:row>
      <xdr:rowOff>129540</xdr:rowOff>
    </xdr:to>
    <xdr:sp macro="" textlink="Dashboard_Procesamiento!F17">
      <xdr:nvSpPr>
        <xdr:cNvPr id="4" name="Rectángulo: esquinas redondeadas 3">
          <a:extLst>
            <a:ext uri="{FF2B5EF4-FFF2-40B4-BE49-F238E27FC236}">
              <a16:creationId xmlns:a16="http://schemas.microsoft.com/office/drawing/2014/main" id="{C7564558-DE8E-46B4-9408-543FC85F8126}"/>
            </a:ext>
          </a:extLst>
        </xdr:cNvPr>
        <xdr:cNvSpPr/>
      </xdr:nvSpPr>
      <xdr:spPr>
        <a:xfrm>
          <a:off x="8284210" y="0"/>
          <a:ext cx="2327910" cy="1029123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MARGEN NETO</a:t>
          </a:r>
        </a:p>
        <a:p>
          <a:pPr algn="ctr"/>
          <a:fld id="{90BC0994-7601-4120-A462-8D369FE61095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9,71%</a:t>
          </a:fld>
          <a:endParaRPr lang="en-US" sz="1400" b="1"/>
        </a:p>
      </xdr:txBody>
    </xdr:sp>
    <xdr:clientData/>
  </xdr:twoCellAnchor>
  <xdr:twoCellAnchor>
    <xdr:from>
      <xdr:col>14</xdr:col>
      <xdr:colOff>345017</xdr:colOff>
      <xdr:row>0</xdr:row>
      <xdr:rowOff>0</xdr:rowOff>
    </xdr:from>
    <xdr:to>
      <xdr:col>17</xdr:col>
      <xdr:colOff>290407</xdr:colOff>
      <xdr:row>5</xdr:row>
      <xdr:rowOff>129540</xdr:rowOff>
    </xdr:to>
    <xdr:sp macro="" textlink="Dashboard_Procesamiento!D41">
      <xdr:nvSpPr>
        <xdr:cNvPr id="5" name="Rectángulo: esquinas redondeadas 4">
          <a:extLst>
            <a:ext uri="{FF2B5EF4-FFF2-40B4-BE49-F238E27FC236}">
              <a16:creationId xmlns:a16="http://schemas.microsoft.com/office/drawing/2014/main" id="{F6D54D60-5EC7-4F77-9D7D-1859C6AE57E7}"/>
            </a:ext>
          </a:extLst>
        </xdr:cNvPr>
        <xdr:cNvSpPr/>
      </xdr:nvSpPr>
      <xdr:spPr>
        <a:xfrm>
          <a:off x="11457517" y="0"/>
          <a:ext cx="2326640" cy="1029123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LTV VS CAC</a:t>
          </a:r>
        </a:p>
        <a:p>
          <a:pPr algn="ctr"/>
          <a:fld id="{116EC43C-1A04-42F1-85CB-6EF999AB2F04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$ 7,83</a:t>
          </a:fld>
          <a:endParaRPr lang="en-US" sz="1400" b="1"/>
        </a:p>
      </xdr:txBody>
    </xdr:sp>
    <xdr:clientData/>
  </xdr:twoCellAnchor>
  <xdr:twoCellAnchor>
    <xdr:from>
      <xdr:col>2</xdr:col>
      <xdr:colOff>325542</xdr:colOff>
      <xdr:row>6</xdr:row>
      <xdr:rowOff>151977</xdr:rowOff>
    </xdr:from>
    <xdr:to>
      <xdr:col>9</xdr:col>
      <xdr:colOff>793749</xdr:colOff>
      <xdr:row>25</xdr:row>
      <xdr:rowOff>63500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C7F6B69-2A76-45F2-B6FA-1FBB068ED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</xdr:row>
      <xdr:rowOff>176529</xdr:rowOff>
    </xdr:from>
    <xdr:to>
      <xdr:col>2</xdr:col>
      <xdr:colOff>222250</xdr:colOff>
      <xdr:row>25</xdr:row>
      <xdr:rowOff>52916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rimestre">
              <a:extLst>
                <a:ext uri="{FF2B5EF4-FFF2-40B4-BE49-F238E27FC236}">
                  <a16:creationId xmlns:a16="http://schemas.microsoft.com/office/drawing/2014/main" id="{75E16676-9321-2CB5-4D6C-B17D67CF58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43329"/>
              <a:ext cx="1797050" cy="32545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232832</xdr:colOff>
      <xdr:row>5</xdr:row>
      <xdr:rowOff>126999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ño">
              <a:extLst>
                <a:ext uri="{FF2B5EF4-FFF2-40B4-BE49-F238E27FC236}">
                  <a16:creationId xmlns:a16="http://schemas.microsoft.com/office/drawing/2014/main" id="{7B51A71E-DD5E-6584-E19C-CE990EC8C0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07632" cy="1015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116416</xdr:colOff>
      <xdr:row>6</xdr:row>
      <xdr:rowOff>179915</xdr:rowOff>
    </xdr:from>
    <xdr:to>
      <xdr:col>17</xdr:col>
      <xdr:colOff>285750</xdr:colOff>
      <xdr:row>25</xdr:row>
      <xdr:rowOff>52915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44C3432-6B1F-4700-9015-46C29DD6D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783166</xdr:colOff>
      <xdr:row>25</xdr:row>
      <xdr:rowOff>137581</xdr:rowOff>
    </xdr:from>
    <xdr:to>
      <xdr:col>17</xdr:col>
      <xdr:colOff>275167</xdr:colOff>
      <xdr:row>42</xdr:row>
      <xdr:rowOff>31750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3D53F2A-29A8-43EE-A5E2-A70B74A71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359831</xdr:colOff>
      <xdr:row>25</xdr:row>
      <xdr:rowOff>148167</xdr:rowOff>
    </xdr:from>
    <xdr:to>
      <xdr:col>10</xdr:col>
      <xdr:colOff>751416</xdr:colOff>
      <xdr:row>37</xdr:row>
      <xdr:rowOff>158751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5EE4A750-2FFB-4B57-BF57-0532D4841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25</xdr:row>
      <xdr:rowOff>168486</xdr:rowOff>
    </xdr:from>
    <xdr:to>
      <xdr:col>2</xdr:col>
      <xdr:colOff>241300</xdr:colOff>
      <xdr:row>42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Responsable">
              <a:extLst>
                <a:ext uri="{FF2B5EF4-FFF2-40B4-BE49-F238E27FC236}">
                  <a16:creationId xmlns:a16="http://schemas.microsoft.com/office/drawing/2014/main" id="{11A93DB0-6E1E-FF7D-C87F-AA08A8C33D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613486"/>
              <a:ext cx="1816100" cy="29176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368300</xdr:colOff>
      <xdr:row>38</xdr:row>
      <xdr:rowOff>52917</xdr:rowOff>
    </xdr:from>
    <xdr:to>
      <xdr:col>10</xdr:col>
      <xdr:colOff>719668</xdr:colOff>
      <xdr:row>42</xdr:row>
      <xdr:rowOff>0</xdr:rowOff>
    </xdr:to>
    <xdr:sp macro="" textlink="Dashboard_Procesamiento!J20">
      <xdr:nvSpPr>
        <xdr:cNvPr id="18" name="Rectángulo 17">
          <a:extLst>
            <a:ext uri="{FF2B5EF4-FFF2-40B4-BE49-F238E27FC236}">
              <a16:creationId xmlns:a16="http://schemas.microsoft.com/office/drawing/2014/main" id="{1E102B71-775A-F82A-832A-818FBD6E6DB7}"/>
            </a:ext>
          </a:extLst>
        </xdr:cNvPr>
        <xdr:cNvSpPr/>
      </xdr:nvSpPr>
      <xdr:spPr>
        <a:xfrm>
          <a:off x="1943100" y="6809317"/>
          <a:ext cx="6650568" cy="65828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chemeClr val="bg1">
              <a:alpha val="40000"/>
            </a:schemeClr>
          </a:outerShdw>
          <a:softEdge rad="127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t>TOTAL GASTOS OPERATIVOS</a:t>
          </a:r>
        </a:p>
        <a:p>
          <a:pPr algn="ctr"/>
          <a:fld id="{95D53803-671A-433E-B4BA-52B2D26F8F55}" type="TxLink">
            <a:rPr lang="en-US" sz="1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algn="ctr"/>
            <a:t> $ 13.118 </a:t>
          </a:fld>
          <a:endParaRPr lang="es-CO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708660</xdr:colOff>
      <xdr:row>18</xdr:row>
      <xdr:rowOff>45720</xdr:rowOff>
    </xdr:from>
    <xdr:to>
      <xdr:col>12</xdr:col>
      <xdr:colOff>114300</xdr:colOff>
      <xdr:row>23</xdr:row>
      <xdr:rowOff>7620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D89002F5-0FD3-19BB-BBAC-54D5B7D09538}"/>
            </a:ext>
          </a:extLst>
        </xdr:cNvPr>
        <xdr:cNvSpPr/>
      </xdr:nvSpPr>
      <xdr:spPr>
        <a:xfrm>
          <a:off x="5463540" y="3337560"/>
          <a:ext cx="4160520" cy="8763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Esteban Rincón Piratoba" refreshedDate="46175.55417476852" backgroundQuery="1" createdVersion="8" refreshedVersion="8" minRefreshableVersion="3" recordCount="0" supportSubquery="1" supportAdvancedDrill="1" xr:uid="{DD6825F1-053D-44A2-B09A-70B9D6ED44B0}">
  <cacheSource type="external" connectionId="1"/>
  <cacheFields count="6">
    <cacheField name="[Dim_Clientes_Marketing].[Canal_Adquisicion].[Canal_Adquisicion]" caption="Canal_Adquisicion" numFmtId="0" hierarchy="1" level="1">
      <sharedItems count="4">
        <s v="Facebook Ads"/>
        <s v="Google Ads"/>
        <s v="Influencers"/>
        <s v="Orgánico"/>
      </sharedItems>
    </cacheField>
    <cacheField name="[Measures].[Total_CAC]" caption="Total_CAC" numFmtId="0" hierarchy="38" level="32767"/>
    <cacheField name="[Measures].[LTV]" caption="LTV" numFmtId="0" hierarchy="39" level="32767"/>
    <cacheField name="[Measures].[Relacion_LTV_CAC]" caption="Relacion_LTV_CAC" numFmtId="0" hierarchy="40" level="32767"/>
    <cacheField name="[Measures].[ROI]" caption="ROI" numFmtId="0" hierarchy="41" level="32767"/>
    <cacheField name="[Dim_Meses_Puente].[Trimestre].[Trimestre]" caption="Trimestre" numFmtId="0" hierarchy="16" level="1">
      <sharedItems containsSemiMixedTypes="0" containsNonDate="0" containsString="0"/>
    </cacheField>
  </cacheFields>
  <cacheHierarchies count="49">
    <cacheHierarchy uniqueName="[Dim_Clientes_Marketing].[ID_Cliente]" caption="ID_Cliente" attribute="1" defaultMemberUniqueName="[Dim_Clientes_Marketing].[ID_Cliente].[All]" allUniqueName="[Dim_Clientes_Marketing].[ID_Cliente].[All]" dimensionUniqueName="[Dim_Clientes_Marketing]" displayFolder="" count="0" memberValueDatatype="130" unbalanced="0"/>
    <cacheHierarchy uniqueName="[Dim_Clientes_Marketing].[Canal_Adquisicion]" caption="Canal_Adquisicion" attribute="1" defaultMemberUniqueName="[Dim_Clientes_Marketing].[Canal_Adquisicion].[All]" allUniqueName="[Dim_Clientes_Marketing].[Canal_Adquisicion].[All]" dimensionUniqueName="[Dim_Clientes_Marketing]" displayFolder="" count="2" memberValueDatatype="130" unbalanced="0">
      <fieldsUsage count="2">
        <fieldUsage x="-1"/>
        <fieldUsage x="0"/>
      </fieldsUsage>
    </cacheHierarchy>
    <cacheHierarchy uniqueName="[Dim_Clientes_Marketing].[Costo_Adquisicion_CAC]" caption="Costo_Adquisicion_CAC" attribute="1" defaultMemberUniqueName="[Dim_Clientes_Marketing].[Costo_Adquisicion_CAC].[All]" allUniqueName="[Dim_Clientes_Marketing].[Costo_Adquisicion_CAC].[All]" dimensionUniqueName="[Dim_Clientes_Marketing]" displayFolder="" count="0" memberValueDatatype="20" unbalanced="0"/>
    <cacheHierarchy uniqueName="[Dim_Clientes_Marketing].[Fecha_Registro]" caption="Fecha_Registro" attribute="1" time="1" defaultMemberUniqueName="[Dim_Clientes_Marketing].[Fecha_Registro].[All]" allUniqueName="[Dim_Clientes_Marketing].[Fecha_Registro].[All]" dimensionUniqueName="[Dim_Clientes_Marketing]" displayFolder="" count="0" memberValueDatatype="7" unbalanced="0"/>
    <cacheHierarchy uniqueName="[Dim_Clientes_Marketing].[ID_Mes]" caption="ID_Mes" attribute="1" defaultMemberUniqueName="[Dim_Clientes_Marketing].[ID_Mes].[All]" allUniqueName="[Dim_Clientes_Marketing].[ID_Mes].[All]" dimensionUniqueName="[Dim_Clientes_Marketing]" displayFolder="" count="0" memberValueDatatype="130" unbalanced="0"/>
    <cacheHierarchy uniqueName="[Dim_Clientes_Marketing].[Trimestre_Registro]" caption="Trimestre_Registro" attribute="1" defaultMemberUniqueName="[Dim_Clientes_Marketing].[Trimestre_Registro].[All]" allUniqueName="[Dim_Clientes_Marketing].[Trimestre_Registro].[All]" dimensionUniqueName="[Dim_Clientes_Marketing]" displayFolder="" count="0" memberValueDatatype="130" unbalanced="0"/>
    <cacheHierarchy uniqueName="[Dim_Gastos_Operativos].[ID_Gasto]" caption="ID_Gasto" attribute="1" defaultMemberUniqueName="[Dim_Gastos_Operativos].[ID_Gasto].[All]" allUniqueName="[Dim_Gastos_Operativos].[ID_Gasto].[All]" dimensionUniqueName="[Dim_Gastos_Operativos]" displayFolder="" count="0" memberValueDatatype="130" unbalanced="0"/>
    <cacheHierarchy uniqueName="[Dim_Gastos_Operativos].[Año]" caption="Año" attribute="1" defaultMemberUniqueName="[Dim_Gastos_Operativos].[Año].[All]" allUniqueName="[Dim_Gastos_Operativos].[Año].[All]" dimensionUniqueName="[Dim_Gastos_Operativos]" displayFolder="" count="0" memberValueDatatype="20" unbalanced="0"/>
    <cacheHierarchy uniqueName="[Dim_Gastos_Operativos].[ID_Mes]" caption="ID_Mes" attribute="1" defaultMemberUniqueName="[Dim_Gastos_Operativos].[ID_Mes].[All]" allUniqueName="[Dim_Gastos_Operativos].[ID_Mes].[All]" dimensionUniqueName="[Dim_Gastos_Operativos]" displayFolder="" count="0" memberValueDatatype="130" unbalanced="0"/>
    <cacheHierarchy uniqueName="[Dim_Gastos_Operativos].[Categoria_Gasto]" caption="Categoria_Gasto" attribute="1" defaultMemberUniqueName="[Dim_Gastos_Operativos].[Categoria_Gasto].[All]" allUniqueName="[Dim_Gastos_Operativos].[Categoria_Gasto].[All]" dimensionUniqueName="[Dim_Gastos_Operativos]" displayFolder="" count="0" memberValueDatatype="130" unbalanced="0"/>
    <cacheHierarchy uniqueName="[Dim_Gastos_Operativos].[Monto_Gasto]" caption="Monto_Gasto" attribute="1" defaultMemberUniqueName="[Dim_Gastos_Operativos].[Monto_Gasto].[All]" allUniqueName="[Dim_Gastos_Operativos].[Monto_Gasto].[All]" dimensionUniqueName="[Dim_Gastos_Operativos]" displayFolder="" count="0" memberValueDatatype="20" unbalanced="0"/>
    <cacheHierarchy uniqueName="[Dim_Gastos_Operativos].[Responsable]" caption="Responsable" attribute="1" defaultMemberUniqueName="[Dim_Gastos_Operativos].[Responsable].[All]" allUniqueName="[Dim_Gastos_Operativos].[Responsable].[All]" dimensionUniqueName="[Dim_Gastos_Operativos]" displayFolder="" count="0" memberValueDatatype="130" unbalanced="0"/>
    <cacheHierarchy uniqueName="[Dim_Gastos_Operativos].[Descripcion]" caption="Descripcion" attribute="1" defaultMemberUniqueName="[Dim_Gastos_Operativos].[Descripcion].[All]" allUniqueName="[Dim_Gastos_Operativos].[Descripcion].[All]" dimensionUniqueName="[Dim_Gastos_Operativos]" displayFolder="" count="0" memberValueDatatype="130" unbalanced="0"/>
    <cacheHierarchy uniqueName="[Dim_Meses_Puente].[ID_Mes]" caption="ID_Mes" attribute="1" defaultMemberUniqueName="[Dim_Meses_Puente].[ID_Mes].[All]" allUniqueName="[Dim_Meses_Puente].[ID_Mes].[All]" dimensionUniqueName="[Dim_Meses_Puente]" displayFolder="" count="0" memberValueDatatype="130" unbalanced="0"/>
    <cacheHierarchy uniqueName="[Dim_Meses_Puente].[Nombre_Mes]" caption="Nombre_Mes" attribute="1" defaultMemberUniqueName="[Dim_Meses_Puente].[Nombre_Mes].[All]" allUniqueName="[Dim_Meses_Puente].[Nombre_Mes].[All]" dimensionUniqueName="[Dim_Meses_Puente]" displayFolder="" count="0" memberValueDatatype="130" unbalanced="0"/>
    <cacheHierarchy uniqueName="[Dim_Meses_Puente].[Año]" caption="Año" attribute="1" defaultMemberUniqueName="[Dim_Meses_Puente].[Año].[All]" allUniqueName="[Dim_Meses_Puente].[Año].[All]" dimensionUniqueName="[Dim_Meses_Puente]" displayFolder="" count="2" memberValueDatatype="20" unbalanced="0"/>
    <cacheHierarchy uniqueName="[Dim_Meses_Puente].[Trimestre]" caption="Trimestre" attribute="1" defaultMemberUniqueName="[Dim_Meses_Puente].[Trimestre].[All]" allUniqueName="[Dim_Meses_Puente].[Trimestre].[All]" dimensionUniqueName="[Dim_Meses_Puente]" displayFolder="" count="2" memberValueDatatype="130" unbalanced="0">
      <fieldsUsage count="2">
        <fieldUsage x="-1"/>
        <fieldUsage x="5"/>
      </fieldsUsage>
    </cacheHierarchy>
    <cacheHierarchy uniqueName="[Dim_Producto].[ID_Producto]" caption="ID_Producto" attribute="1" defaultMemberUniqueName="[Dim_Producto].[ID_Producto].[All]" allUniqueName="[Dim_Producto].[ID_Producto].[All]" dimensionUniqueName="[Dim_Producto]" displayFolder="" count="0" memberValueDatatype="130" unbalanced="0"/>
    <cacheHierarchy uniqueName="[Dim_Producto].[Producto_Categoria]" caption="Producto_Categoria" attribute="1" defaultMemberUniqueName="[Dim_Producto].[Producto_Categoria].[All]" allUniqueName="[Dim_Producto].[Producto_Categoria].[All]" dimensionUniqueName="[Dim_Producto]" displayFolder="" count="0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0" memberValueDatatype="2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130" unbalanced="0"/>
    <cacheHierarchy uniqueName="[Dim_Tiempo].[Mes]" caption="Mes" attribute="1" defaultMemberUniqueName="[Dim_Tiempo].[Mes].[All]" allUniqueName="[Dim_Tiempo].[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ID_Mes]" caption="ID_Mes" attribute="1" defaultMemberUniqueName="[Dim_Tiempo].[ID_Mes].[All]" allUniqueName="[Dim_Tiempo].[ID_Mes].[All]" dimensionUniqueName="[Dim_Tiempo]" displayFolder="" count="0" memberValueDatatype="130" unbalanced="0"/>
    <cacheHierarchy uniqueName="[Fact_Ventas].[ID_Venta]" caption="ID_Venta" attribute="1" defaultMemberUniqueName="[Fact_Ventas].[ID_Venta].[All]" allUniqueName="[Fact_Ventas].[ID_Venta].[All]" dimensionUniqueName="[Fact_Ventas]" displayFolder="" count="0" memberValueDatatype="130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0" memberValueDatatype="13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0" memberValueDatatype="130" unbalanced="0"/>
    <cacheHierarchy uniqueName="[Fact_Ventas].[Fecha]" caption="Fecha" attribute="1" time="1" defaultMemberUniqueName="[Fact_Ventas].[Fecha].[All]" allUniqueName="[Fact_Ventas].[Fecha].[All]" dimensionUniqueName="[Fact_Ventas]" displayFolder="" count="0" memberValueDatatype="7" unbalanced="0"/>
    <cacheHierarchy uniqueName="[Fact_Ventas].[Ingreso_Venta]" caption="Ingreso_Venta" attribute="1" defaultMemberUniqueName="[Fact_Ventas].[Ingreso_Venta].[All]" allUniqueName="[Fact_Ventas].[Ingreso_Venta].[All]" dimensionUniqueName="[Fact_Ventas]" displayFolder="" count="0" memberValueDatatype="20" unbalanced="0"/>
    <cacheHierarchy uniqueName="[Fact_Ventas].[Costo_Directo_Producto]" caption="Costo_Directo_Producto" attribute="1" defaultMemberUniqueName="[Fact_Ventas].[Costo_Directo_Producto].[All]" allUniqueName="[Fact_Ventas].[Costo_Directo_Producto].[All]" dimensionUniqueName="[Fact_Ventas]" displayFolder="" count="0" memberValueDatatype="20" unbalanced="0"/>
    <cacheHierarchy uniqueName="[Measures].[Total_Ingresos]" caption="Total_Ingresos" measure="1" displayFolder="" measureGroup="Fact_Ventas" count="0"/>
    <cacheHierarchy uniqueName="[Measures].[Total_Costo_Directo]" caption="Total_Costo_Directo" measure="1" displayFolder="" measureGroup="Fact_Ventas" count="0"/>
    <cacheHierarchy uniqueName="[Measures].[Margen_Bruto]" caption="Margen_Bruto" measure="1" displayFolder="" measureGroup="Fact_Ventas" count="0"/>
    <cacheHierarchy uniqueName="[Measures].[Porcentaje_Margen_Bruto]" caption="Porcentaje_Margen_Bruto" measure="1" displayFolder="" measureGroup="Fact_Ventas" count="0"/>
    <cacheHierarchy uniqueName="[Measures].[Total_Gastos_Ops]" caption="Total_Gastos_Ops" measure="1" displayFolder="" measureGroup="Dim_Gastos_Operativos" count="0"/>
    <cacheHierarchy uniqueName="[Measures].[EBITDA]" caption="EBITDA" measure="1" displayFolder="" measureGroup="Dim_Gastos_Operativos" count="0"/>
    <cacheHierarchy uniqueName="[Measures].[Margen_Neto]" caption="Margen_Neto" measure="1" displayFolder="" measureGroup="Dim_Gastos_Operativos" count="0"/>
    <cacheHierarchy uniqueName="[Measures].[Total_CAC]" caption="Total_CAC" measure="1" displayFolder="" measureGroup="Dim_Clientes_Marketing" count="0" oneField="1">
      <fieldsUsage count="1">
        <fieldUsage x="1"/>
      </fieldsUsage>
    </cacheHierarchy>
    <cacheHierarchy uniqueName="[Measures].[LTV]" caption="LTV" measure="1" displayFolder="" measureGroup="Dim_Clientes_Marketing" count="0" oneField="1">
      <fieldsUsage count="1">
        <fieldUsage x="2"/>
      </fieldsUsage>
    </cacheHierarchy>
    <cacheHierarchy uniqueName="[Measures].[Relacion_LTV_CAC]" caption="Relacion_LTV_CAC" measure="1" displayFolder="" measureGroup="Dim_Clientes_Marketing" count="0" oneField="1">
      <fieldsUsage count="1">
        <fieldUsage x="3"/>
      </fieldsUsage>
    </cacheHierarchy>
    <cacheHierarchy uniqueName="[Measures].[ROI]" caption="ROI" measure="1" displayFolder="" measureGroup="Dim_Clientes_Marketing" count="0" oneField="1">
      <fieldsUsage count="1">
        <fieldUsage x="4"/>
      </fieldsUsage>
    </cacheHierarchy>
    <cacheHierarchy uniqueName="[Measures].[__XL_Count Fact_Ventas]" caption="__XL_Count Fact_Ventas" measure="1" displayFolder="" measureGroup="Fact_Ventas" count="0" hidden="1"/>
    <cacheHierarchy uniqueName="[Measures].[__XL_Count Dim_Clientes_Marketing]" caption="__XL_Count Dim_Clientes_Marketing" measure="1" displayFolder="" measureGroup="Dim_Clientes_Marketing" count="0" hidden="1"/>
    <cacheHierarchy uniqueName="[Measures].[__XL_Count Dim_Gastos_Operativos]" caption="__XL_Count Dim_Gastos_Operativos" measure="1" displayFolder="" measureGroup="Dim_Gastos_Operativos" count="0" hidden="1"/>
    <cacheHierarchy uniqueName="[Measures].[__XL_Count Dim_Tiempo]" caption="__XL_Count Dim_Tiempo" measure="1" displayFolder="" measureGroup="Dim_Tiempo" count="0" hidden="1"/>
    <cacheHierarchy uniqueName="[Measures].[__XL_Count Tabla10]" caption="__XL_Count Tabla10" measure="1" displayFolder="" measureGroup="Dim_Producto" count="0" hidden="1"/>
    <cacheHierarchy uniqueName="[Measures].[__XL_Count Dim_Meses_Puente]" caption="__XL_Count Dim_Meses_Puente" measure="1" displayFolder="" measureGroup="Dim_Meses_Puente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s_Marketing" uniqueName="[Dim_Clientes_Marketing]" caption="Dim_Clientes_Marketing"/>
    <dimension name="Dim_Gastos_Operativos" uniqueName="[Dim_Gastos_Operativos]" caption="Dim_Gastos_Operativos"/>
    <dimension name="Dim_Meses_Puente" uniqueName="[Dim_Meses_Puente]" caption="Dim_Meses_Puente"/>
    <dimension name="Dim_Producto" uniqueName="[Dim_Producto]" caption="Dim_Producto"/>
    <dimension name="Dim_Tiempo" uniqueName="[Dim_Tiempo]" caption="Dim_Tiempo"/>
    <dimension name="Fact_Ventas" uniqueName="[Fact_Ventas]" caption="Fact_Ventas"/>
    <dimension measure="1" name="Measures" uniqueName="[Measures]" caption="Measures"/>
  </dimensions>
  <measureGroups count="6">
    <measureGroup name="Dim_Clientes_Marketing" caption="Dim_Clientes_Marketing"/>
    <measureGroup name="Dim_Gastos_Operativos" caption="Dim_Gastos_Operativos"/>
    <measureGroup name="Dim_Meses_Puente" caption="Dim_Meses_Puente"/>
    <measureGroup name="Dim_Producto" caption="Dim_Producto"/>
    <measureGroup name="Dim_Tiempo" caption="Dim_Tiempo"/>
    <measureGroup name="Fact_Ventas" caption="Fact_Ventas"/>
  </measureGroups>
  <maps count="12">
    <map measureGroup="0" dimension="0"/>
    <map measureGroup="1" dimension="1"/>
    <map measureGroup="1" dimension="2"/>
    <map measureGroup="2" dimension="2"/>
    <map measureGroup="3" dimension="3"/>
    <map measureGroup="4" dimension="2"/>
    <map measureGroup="4" dimension="4"/>
    <map measureGroup="5" dimension="0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Esteban Rincón Piratoba" refreshedDate="46175.554175347221" backgroundQuery="1" createdVersion="8" refreshedVersion="8" minRefreshableVersion="3" recordCount="0" supportSubquery="1" supportAdvancedDrill="1" xr:uid="{49F89980-1F29-4EEA-A16E-4AA973F2E181}">
  <cacheSource type="external" connectionId="1"/>
  <cacheFields count="7">
    <cacheField name="[Dim_Meses_Puente].[Nombre_Mes].[Nombre_Mes]" caption="Nombre_Mes" numFmtId="0" hierarchy="14" level="1">
      <sharedItems count="12">
        <s v="Abril"/>
        <s v="Agosto"/>
        <s v="Diciembre"/>
        <s v="Enero"/>
        <s v="Febrero"/>
        <s v="Julio"/>
        <s v="Junio"/>
        <s v="Marzo"/>
        <s v="Mayo"/>
        <s v="Noviembre"/>
        <s v="Octubre"/>
        <s v="Septiembre"/>
      </sharedItems>
    </cacheField>
    <cacheField name="[Measures].[Total_Ingresos]" caption="Total_Ingresos" numFmtId="0" hierarchy="31" level="32767"/>
    <cacheField name="[Measures].[Total_Costo_Directo]" caption="Total_Costo_Directo" numFmtId="0" hierarchy="32" level="32767"/>
    <cacheField name="[Measures].[Margen_Bruto]" caption="Margen_Bruto" numFmtId="0" hierarchy="33" level="32767"/>
    <cacheField name="[Measures].[EBITDA]" caption="EBITDA" numFmtId="0" hierarchy="36" level="32767"/>
    <cacheField name="[Measures].[Margen_Neto]" caption="Margen_Neto" numFmtId="0" hierarchy="37" level="32767"/>
    <cacheField name="[Dim_Meses_Puente].[Trimestre].[Trimestre]" caption="Trimestre" numFmtId="0" hierarchy="16" level="1">
      <sharedItems containsSemiMixedTypes="0" containsNonDate="0" containsString="0"/>
    </cacheField>
  </cacheFields>
  <cacheHierarchies count="49">
    <cacheHierarchy uniqueName="[Dim_Clientes_Marketing].[ID_Cliente]" caption="ID_Cliente" attribute="1" defaultMemberUniqueName="[Dim_Clientes_Marketing].[ID_Cliente].[All]" allUniqueName="[Dim_Clientes_Marketing].[ID_Cliente].[All]" dimensionUniqueName="[Dim_Clientes_Marketing]" displayFolder="" count="0" memberValueDatatype="130" unbalanced="0"/>
    <cacheHierarchy uniqueName="[Dim_Clientes_Marketing].[Canal_Adquisicion]" caption="Canal_Adquisicion" attribute="1" defaultMemberUniqueName="[Dim_Clientes_Marketing].[Canal_Adquisicion].[All]" allUniqueName="[Dim_Clientes_Marketing].[Canal_Adquisicion].[All]" dimensionUniqueName="[Dim_Clientes_Marketing]" displayFolder="" count="0" memberValueDatatype="130" unbalanced="0"/>
    <cacheHierarchy uniqueName="[Dim_Clientes_Marketing].[Costo_Adquisicion_CAC]" caption="Costo_Adquisicion_CAC" attribute="1" defaultMemberUniqueName="[Dim_Clientes_Marketing].[Costo_Adquisicion_CAC].[All]" allUniqueName="[Dim_Clientes_Marketing].[Costo_Adquisicion_CAC].[All]" dimensionUniqueName="[Dim_Clientes_Marketing]" displayFolder="" count="0" memberValueDatatype="20" unbalanced="0"/>
    <cacheHierarchy uniqueName="[Dim_Clientes_Marketing].[Fecha_Registro]" caption="Fecha_Registro" attribute="1" time="1" defaultMemberUniqueName="[Dim_Clientes_Marketing].[Fecha_Registro].[All]" allUniqueName="[Dim_Clientes_Marketing].[Fecha_Registro].[All]" dimensionUniqueName="[Dim_Clientes_Marketing]" displayFolder="" count="0" memberValueDatatype="7" unbalanced="0"/>
    <cacheHierarchy uniqueName="[Dim_Clientes_Marketing].[ID_Mes]" caption="ID_Mes" attribute="1" defaultMemberUniqueName="[Dim_Clientes_Marketing].[ID_Mes].[All]" allUniqueName="[Dim_Clientes_Marketing].[ID_Mes].[All]" dimensionUniqueName="[Dim_Clientes_Marketing]" displayFolder="" count="0" memberValueDatatype="130" unbalanced="0"/>
    <cacheHierarchy uniqueName="[Dim_Clientes_Marketing].[Trimestre_Registro]" caption="Trimestre_Registro" attribute="1" defaultMemberUniqueName="[Dim_Clientes_Marketing].[Trimestre_Registro].[All]" allUniqueName="[Dim_Clientes_Marketing].[Trimestre_Registro].[All]" dimensionUniqueName="[Dim_Clientes_Marketing]" displayFolder="" count="0" memberValueDatatype="130" unbalanced="0"/>
    <cacheHierarchy uniqueName="[Dim_Gastos_Operativos].[ID_Gasto]" caption="ID_Gasto" attribute="1" defaultMemberUniqueName="[Dim_Gastos_Operativos].[ID_Gasto].[All]" allUniqueName="[Dim_Gastos_Operativos].[ID_Gasto].[All]" dimensionUniqueName="[Dim_Gastos_Operativos]" displayFolder="" count="0" memberValueDatatype="130" unbalanced="0"/>
    <cacheHierarchy uniqueName="[Dim_Gastos_Operativos].[Año]" caption="Año" attribute="1" defaultMemberUniqueName="[Dim_Gastos_Operativos].[Año].[All]" allUniqueName="[Dim_Gastos_Operativos].[Año].[All]" dimensionUniqueName="[Dim_Gastos_Operativos]" displayFolder="" count="0" memberValueDatatype="20" unbalanced="0"/>
    <cacheHierarchy uniqueName="[Dim_Gastos_Operativos].[ID_Mes]" caption="ID_Mes" attribute="1" defaultMemberUniqueName="[Dim_Gastos_Operativos].[ID_Mes].[All]" allUniqueName="[Dim_Gastos_Operativos].[ID_Mes].[All]" dimensionUniqueName="[Dim_Gastos_Operativos]" displayFolder="" count="0" memberValueDatatype="130" unbalanced="0"/>
    <cacheHierarchy uniqueName="[Dim_Gastos_Operativos].[Categoria_Gasto]" caption="Categoria_Gasto" attribute="1" defaultMemberUniqueName="[Dim_Gastos_Operativos].[Categoria_Gasto].[All]" allUniqueName="[Dim_Gastos_Operativos].[Categoria_Gasto].[All]" dimensionUniqueName="[Dim_Gastos_Operativos]" displayFolder="" count="0" memberValueDatatype="130" unbalanced="0"/>
    <cacheHierarchy uniqueName="[Dim_Gastos_Operativos].[Monto_Gasto]" caption="Monto_Gasto" attribute="1" defaultMemberUniqueName="[Dim_Gastos_Operativos].[Monto_Gasto].[All]" allUniqueName="[Dim_Gastos_Operativos].[Monto_Gasto].[All]" dimensionUniqueName="[Dim_Gastos_Operativos]" displayFolder="" count="0" memberValueDatatype="20" unbalanced="0"/>
    <cacheHierarchy uniqueName="[Dim_Gastos_Operativos].[Responsable]" caption="Responsable" attribute="1" defaultMemberUniqueName="[Dim_Gastos_Operativos].[Responsable].[All]" allUniqueName="[Dim_Gastos_Operativos].[Responsable].[All]" dimensionUniqueName="[Dim_Gastos_Operativos]" displayFolder="" count="0" memberValueDatatype="130" unbalanced="0"/>
    <cacheHierarchy uniqueName="[Dim_Gastos_Operativos].[Descripcion]" caption="Descripcion" attribute="1" defaultMemberUniqueName="[Dim_Gastos_Operativos].[Descripcion].[All]" allUniqueName="[Dim_Gastos_Operativos].[Descripcion].[All]" dimensionUniqueName="[Dim_Gastos_Operativos]" displayFolder="" count="0" memberValueDatatype="130" unbalanced="0"/>
    <cacheHierarchy uniqueName="[Dim_Meses_Puente].[ID_Mes]" caption="ID_Mes" attribute="1" defaultMemberUniqueName="[Dim_Meses_Puente].[ID_Mes].[All]" allUniqueName="[Dim_Meses_Puente].[ID_Mes].[All]" dimensionUniqueName="[Dim_Meses_Puente]" displayFolder="" count="0" memberValueDatatype="130" unbalanced="0"/>
    <cacheHierarchy uniqueName="[Dim_Meses_Puente].[Nombre_Mes]" caption="Nombre_Mes" attribute="1" defaultMemberUniqueName="[Dim_Meses_Puente].[Nombre_Mes].[All]" allUniqueName="[Dim_Meses_Puente].[Nombre_Mes].[All]" dimensionUniqueName="[Dim_Meses_Puente]" displayFolder="" count="2" memberValueDatatype="130" unbalanced="0">
      <fieldsUsage count="2">
        <fieldUsage x="-1"/>
        <fieldUsage x="0"/>
      </fieldsUsage>
    </cacheHierarchy>
    <cacheHierarchy uniqueName="[Dim_Meses_Puente].[Año]" caption="Año" attribute="1" defaultMemberUniqueName="[Dim_Meses_Puente].[Año].[All]" allUniqueName="[Dim_Meses_Puente].[Año].[All]" dimensionUniqueName="[Dim_Meses_Puente]" displayFolder="" count="0" memberValueDatatype="20" unbalanced="0"/>
    <cacheHierarchy uniqueName="[Dim_Meses_Puente].[Trimestre]" caption="Trimestre" attribute="1" defaultMemberUniqueName="[Dim_Meses_Puente].[Trimestre].[All]" allUniqueName="[Dim_Meses_Puente].[Trimestre].[All]" dimensionUniqueName="[Dim_Meses_Puente]" displayFolder="" count="2" memberValueDatatype="130" unbalanced="0">
      <fieldsUsage count="2">
        <fieldUsage x="-1"/>
        <fieldUsage x="6"/>
      </fieldsUsage>
    </cacheHierarchy>
    <cacheHierarchy uniqueName="[Dim_Producto].[ID_Producto]" caption="ID_Producto" attribute="1" defaultMemberUniqueName="[Dim_Producto].[ID_Producto].[All]" allUniqueName="[Dim_Producto].[ID_Producto].[All]" dimensionUniqueName="[Dim_Producto]" displayFolder="" count="0" memberValueDatatype="130" unbalanced="0"/>
    <cacheHierarchy uniqueName="[Dim_Producto].[Producto_Categoria]" caption="Producto_Categoria" attribute="1" defaultMemberUniqueName="[Dim_Producto].[Producto_Categoria].[All]" allUniqueName="[Dim_Producto].[Producto_Categoria].[All]" dimensionUniqueName="[Dim_Producto]" displayFolder="" count="0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0" memberValueDatatype="2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130" unbalanced="0"/>
    <cacheHierarchy uniqueName="[Dim_Tiempo].[Mes]" caption="Mes" attribute="1" defaultMemberUniqueName="[Dim_Tiempo].[Mes].[All]" allUniqueName="[Dim_Tiempo].[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ID_Mes]" caption="ID_Mes" attribute="1" defaultMemberUniqueName="[Dim_Tiempo].[ID_Mes].[All]" allUniqueName="[Dim_Tiempo].[ID_Mes].[All]" dimensionUniqueName="[Dim_Tiempo]" displayFolder="" count="0" memberValueDatatype="130" unbalanced="0"/>
    <cacheHierarchy uniqueName="[Fact_Ventas].[ID_Venta]" caption="ID_Venta" attribute="1" defaultMemberUniqueName="[Fact_Ventas].[ID_Venta].[All]" allUniqueName="[Fact_Ventas].[ID_Venta].[All]" dimensionUniqueName="[Fact_Ventas]" displayFolder="" count="0" memberValueDatatype="130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0" memberValueDatatype="13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0" memberValueDatatype="130" unbalanced="0"/>
    <cacheHierarchy uniqueName="[Fact_Ventas].[Fecha]" caption="Fecha" attribute="1" time="1" defaultMemberUniqueName="[Fact_Ventas].[Fecha].[All]" allUniqueName="[Fact_Ventas].[Fecha].[All]" dimensionUniqueName="[Fact_Ventas]" displayFolder="" count="0" memberValueDatatype="7" unbalanced="0"/>
    <cacheHierarchy uniqueName="[Fact_Ventas].[Ingreso_Venta]" caption="Ingreso_Venta" attribute="1" defaultMemberUniqueName="[Fact_Ventas].[Ingreso_Venta].[All]" allUniqueName="[Fact_Ventas].[Ingreso_Venta].[All]" dimensionUniqueName="[Fact_Ventas]" displayFolder="" count="0" memberValueDatatype="20" unbalanced="0"/>
    <cacheHierarchy uniqueName="[Fact_Ventas].[Costo_Directo_Producto]" caption="Costo_Directo_Producto" attribute="1" defaultMemberUniqueName="[Fact_Ventas].[Costo_Directo_Producto].[All]" allUniqueName="[Fact_Ventas].[Costo_Directo_Producto].[All]" dimensionUniqueName="[Fact_Ventas]" displayFolder="" count="0" memberValueDatatype="20" unbalanced="0"/>
    <cacheHierarchy uniqueName="[Measures].[Total_Ingresos]" caption="Total_Ingresos" measure="1" displayFolder="" measureGroup="Fact_Ventas" count="0" oneField="1">
      <fieldsUsage count="1">
        <fieldUsage x="1"/>
      </fieldsUsage>
    </cacheHierarchy>
    <cacheHierarchy uniqueName="[Measures].[Total_Costo_Directo]" caption="Total_Costo_Directo" measure="1" displayFolder="" measureGroup="Fact_Ventas" count="0" oneField="1">
      <fieldsUsage count="1">
        <fieldUsage x="2"/>
      </fieldsUsage>
    </cacheHierarchy>
    <cacheHierarchy uniqueName="[Measures].[Margen_Bruto]" caption="Margen_Bruto" measure="1" displayFolder="" measureGroup="Fact_Ventas" count="0" oneField="1">
      <fieldsUsage count="1">
        <fieldUsage x="3"/>
      </fieldsUsage>
    </cacheHierarchy>
    <cacheHierarchy uniqueName="[Measures].[Porcentaje_Margen_Bruto]" caption="Porcentaje_Margen_Bruto" measure="1" displayFolder="" measureGroup="Fact_Ventas" count="0"/>
    <cacheHierarchy uniqueName="[Measures].[Total_Gastos_Ops]" caption="Total_Gastos_Ops" measure="1" displayFolder="" measureGroup="Dim_Gastos_Operativos" count="0"/>
    <cacheHierarchy uniqueName="[Measures].[EBITDA]" caption="EBITDA" measure="1" displayFolder="" measureGroup="Dim_Gastos_Operativos" count="0" oneField="1">
      <fieldsUsage count="1">
        <fieldUsage x="4"/>
      </fieldsUsage>
    </cacheHierarchy>
    <cacheHierarchy uniqueName="[Measures].[Margen_Neto]" caption="Margen_Neto" measure="1" displayFolder="" measureGroup="Dim_Gastos_Operativos" count="0" oneField="1">
      <fieldsUsage count="1">
        <fieldUsage x="5"/>
      </fieldsUsage>
    </cacheHierarchy>
    <cacheHierarchy uniqueName="[Measures].[Total_CAC]" caption="Total_CAC" measure="1" displayFolder="" measureGroup="Dim_Clientes_Marketing" count="0"/>
    <cacheHierarchy uniqueName="[Measures].[LTV]" caption="LTV" measure="1" displayFolder="" measureGroup="Dim_Clientes_Marketing" count="0"/>
    <cacheHierarchy uniqueName="[Measures].[Relacion_LTV_CAC]" caption="Relacion_LTV_CAC" measure="1" displayFolder="" measureGroup="Dim_Clientes_Marketing" count="0"/>
    <cacheHierarchy uniqueName="[Measures].[ROI]" caption="ROI" measure="1" displayFolder="" measureGroup="Dim_Clientes_Marketing" count="0"/>
    <cacheHierarchy uniqueName="[Measures].[__XL_Count Fact_Ventas]" caption="__XL_Count Fact_Ventas" measure="1" displayFolder="" measureGroup="Fact_Ventas" count="0" hidden="1"/>
    <cacheHierarchy uniqueName="[Measures].[__XL_Count Dim_Clientes_Marketing]" caption="__XL_Count Dim_Clientes_Marketing" measure="1" displayFolder="" measureGroup="Dim_Clientes_Marketing" count="0" hidden="1"/>
    <cacheHierarchy uniqueName="[Measures].[__XL_Count Dim_Gastos_Operativos]" caption="__XL_Count Dim_Gastos_Operativos" measure="1" displayFolder="" measureGroup="Dim_Gastos_Operativos" count="0" hidden="1"/>
    <cacheHierarchy uniqueName="[Measures].[__XL_Count Dim_Tiempo]" caption="__XL_Count Dim_Tiempo" measure="1" displayFolder="" measureGroup="Dim_Tiempo" count="0" hidden="1"/>
    <cacheHierarchy uniqueName="[Measures].[__XL_Count Tabla10]" caption="__XL_Count Tabla10" measure="1" displayFolder="" measureGroup="Dim_Producto" count="0" hidden="1"/>
    <cacheHierarchy uniqueName="[Measures].[__XL_Count Dim_Meses_Puente]" caption="__XL_Count Dim_Meses_Puente" measure="1" displayFolder="" measureGroup="Dim_Meses_Puente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s_Marketing" uniqueName="[Dim_Clientes_Marketing]" caption="Dim_Clientes_Marketing"/>
    <dimension name="Dim_Gastos_Operativos" uniqueName="[Dim_Gastos_Operativos]" caption="Dim_Gastos_Operativos"/>
    <dimension name="Dim_Meses_Puente" uniqueName="[Dim_Meses_Puente]" caption="Dim_Meses_Puente"/>
    <dimension name="Dim_Producto" uniqueName="[Dim_Producto]" caption="Dim_Producto"/>
    <dimension name="Dim_Tiempo" uniqueName="[Dim_Tiempo]" caption="Dim_Tiempo"/>
    <dimension name="Fact_Ventas" uniqueName="[Fact_Ventas]" caption="Fact_Ventas"/>
    <dimension measure="1" name="Measures" uniqueName="[Measures]" caption="Measures"/>
  </dimensions>
  <measureGroups count="6">
    <measureGroup name="Dim_Clientes_Marketing" caption="Dim_Clientes_Marketing"/>
    <measureGroup name="Dim_Gastos_Operativos" caption="Dim_Gastos_Operativos"/>
    <measureGroup name="Dim_Meses_Puente" caption="Dim_Meses_Puente"/>
    <measureGroup name="Dim_Producto" caption="Dim_Producto"/>
    <measureGroup name="Dim_Tiempo" caption="Dim_Tiempo"/>
    <measureGroup name="Fact_Ventas" caption="Fact_Ventas"/>
  </measureGroups>
  <maps count="12">
    <map measureGroup="0" dimension="0"/>
    <map measureGroup="1" dimension="1"/>
    <map measureGroup="1" dimension="2"/>
    <map measureGroup="2" dimension="2"/>
    <map measureGroup="3" dimension="3"/>
    <map measureGroup="4" dimension="2"/>
    <map measureGroup="4" dimension="4"/>
    <map measureGroup="5" dimension="0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Esteban Rincón Piratoba" refreshedDate="46175.554175694444" backgroundQuery="1" createdVersion="8" refreshedVersion="8" minRefreshableVersion="3" recordCount="0" supportSubquery="1" supportAdvancedDrill="1" xr:uid="{C4707702-EEED-48B2-A698-05DB8057C60D}">
  <cacheSource type="external" connectionId="1"/>
  <cacheFields count="3">
    <cacheField name="[Dim_Producto].[Producto_Categoria].[Producto_Categoria]" caption="Producto_Categoria" numFmtId="0" hierarchy="18" level="1">
      <sharedItems count="4">
        <s v="Deportes"/>
        <s v="Hogar"/>
        <s v="Moda"/>
        <s v="Tecnología"/>
      </sharedItems>
    </cacheField>
    <cacheField name="[Measures].[Porcentaje_Margen_Bruto]" caption="Porcentaje_Margen_Bruto" numFmtId="0" hierarchy="34" level="32767"/>
    <cacheField name="[Dim_Meses_Puente].[Trimestre].[Trimestre]" caption="Trimestre" numFmtId="0" hierarchy="16" level="1">
      <sharedItems containsSemiMixedTypes="0" containsNonDate="0" containsString="0"/>
    </cacheField>
  </cacheFields>
  <cacheHierarchies count="49">
    <cacheHierarchy uniqueName="[Dim_Clientes_Marketing].[ID_Cliente]" caption="ID_Cliente" attribute="1" defaultMemberUniqueName="[Dim_Clientes_Marketing].[ID_Cliente].[All]" allUniqueName="[Dim_Clientes_Marketing].[ID_Cliente].[All]" dimensionUniqueName="[Dim_Clientes_Marketing]" displayFolder="" count="2" memberValueDatatype="130" unbalanced="0"/>
    <cacheHierarchy uniqueName="[Dim_Clientes_Marketing].[Canal_Adquisicion]" caption="Canal_Adquisicion" attribute="1" defaultMemberUniqueName="[Dim_Clientes_Marketing].[Canal_Adquisicion].[All]" allUniqueName="[Dim_Clientes_Marketing].[Canal_Adquisicion].[All]" dimensionUniqueName="[Dim_Clientes_Marketing]" displayFolder="" count="2" memberValueDatatype="130" unbalanced="0"/>
    <cacheHierarchy uniqueName="[Dim_Clientes_Marketing].[Costo_Adquisicion_CAC]" caption="Costo_Adquisicion_CAC" attribute="1" defaultMemberUniqueName="[Dim_Clientes_Marketing].[Costo_Adquisicion_CAC].[All]" allUniqueName="[Dim_Clientes_Marketing].[Costo_Adquisicion_CAC].[All]" dimensionUniqueName="[Dim_Clientes_Marketing]" displayFolder="" count="2" memberValueDatatype="20" unbalanced="0"/>
    <cacheHierarchy uniqueName="[Dim_Clientes_Marketing].[Fecha_Registro]" caption="Fecha_Registro" attribute="1" time="1" defaultMemberUniqueName="[Dim_Clientes_Marketing].[Fecha_Registro].[All]" allUniqueName="[Dim_Clientes_Marketing].[Fecha_Registro].[All]" dimensionUniqueName="[Dim_Clientes_Marketing]" displayFolder="" count="2" memberValueDatatype="7" unbalanced="0"/>
    <cacheHierarchy uniqueName="[Dim_Clientes_Marketing].[ID_Mes]" caption="ID_Mes" attribute="1" defaultMemberUniqueName="[Dim_Clientes_Marketing].[ID_Mes].[All]" allUniqueName="[Dim_Clientes_Marketing].[ID_Mes].[All]" dimensionUniqueName="[Dim_Clientes_Marketing]" displayFolder="" count="2" memberValueDatatype="130" unbalanced="0"/>
    <cacheHierarchy uniqueName="[Dim_Clientes_Marketing].[Trimestre_Registro]" caption="Trimestre_Registro" attribute="1" defaultMemberUniqueName="[Dim_Clientes_Marketing].[Trimestre_Registro].[All]" allUniqueName="[Dim_Clientes_Marketing].[Trimestre_Registro].[All]" dimensionUniqueName="[Dim_Clientes_Marketing]" displayFolder="" count="2" memberValueDatatype="130" unbalanced="0"/>
    <cacheHierarchy uniqueName="[Dim_Gastos_Operativos].[ID_Gasto]" caption="ID_Gasto" attribute="1" defaultMemberUniqueName="[Dim_Gastos_Operativos].[ID_Gasto].[All]" allUniqueName="[Dim_Gastos_Operativos].[ID_Gasto].[All]" dimensionUniqueName="[Dim_Gastos_Operativos]" displayFolder="" count="2" memberValueDatatype="130" unbalanced="0"/>
    <cacheHierarchy uniqueName="[Dim_Gastos_Operativos].[Año]" caption="Año" attribute="1" defaultMemberUniqueName="[Dim_Gastos_Operativos].[Año].[All]" allUniqueName="[Dim_Gastos_Operativos].[Año].[All]" dimensionUniqueName="[Dim_Gastos_Operativos]" displayFolder="" count="2" memberValueDatatype="20" unbalanced="0"/>
    <cacheHierarchy uniqueName="[Dim_Gastos_Operativos].[ID_Mes]" caption="ID_Mes" attribute="1" defaultMemberUniqueName="[Dim_Gastos_Operativos].[ID_Mes].[All]" allUniqueName="[Dim_Gastos_Operativos].[ID_Mes].[All]" dimensionUniqueName="[Dim_Gastos_Operativos]" displayFolder="" count="2" memberValueDatatype="130" unbalanced="0"/>
    <cacheHierarchy uniqueName="[Dim_Gastos_Operativos].[Categoria_Gasto]" caption="Categoria_Gasto" attribute="1" defaultMemberUniqueName="[Dim_Gastos_Operativos].[Categoria_Gasto].[All]" allUniqueName="[Dim_Gastos_Operativos].[Categoria_Gasto].[All]" dimensionUniqueName="[Dim_Gastos_Operativos]" displayFolder="" count="2" memberValueDatatype="130" unbalanced="0"/>
    <cacheHierarchy uniqueName="[Dim_Gastos_Operativos].[Monto_Gasto]" caption="Monto_Gasto" attribute="1" defaultMemberUniqueName="[Dim_Gastos_Operativos].[Monto_Gasto].[All]" allUniqueName="[Dim_Gastos_Operativos].[Monto_Gasto].[All]" dimensionUniqueName="[Dim_Gastos_Operativos]" displayFolder="" count="2" memberValueDatatype="20" unbalanced="0"/>
    <cacheHierarchy uniqueName="[Dim_Gastos_Operativos].[Responsable]" caption="Responsable" attribute="1" defaultMemberUniqueName="[Dim_Gastos_Operativos].[Responsable].[All]" allUniqueName="[Dim_Gastos_Operativos].[Responsable].[All]" dimensionUniqueName="[Dim_Gastos_Operativos]" displayFolder="" count="2" memberValueDatatype="130" unbalanced="0"/>
    <cacheHierarchy uniqueName="[Dim_Gastos_Operativos].[Descripcion]" caption="Descripcion" attribute="1" defaultMemberUniqueName="[Dim_Gastos_Operativos].[Descripcion].[All]" allUniqueName="[Dim_Gastos_Operativos].[Descripcion].[All]" dimensionUniqueName="[Dim_Gastos_Operativos]" displayFolder="" count="2" memberValueDatatype="130" unbalanced="0"/>
    <cacheHierarchy uniqueName="[Dim_Meses_Puente].[ID_Mes]" caption="ID_Mes" attribute="1" defaultMemberUniqueName="[Dim_Meses_Puente].[ID_Mes].[All]" allUniqueName="[Dim_Meses_Puente].[ID_Mes].[All]" dimensionUniqueName="[Dim_Meses_Puente]" displayFolder="" count="2" memberValueDatatype="130" unbalanced="0"/>
    <cacheHierarchy uniqueName="[Dim_Meses_Puente].[Nombre_Mes]" caption="Nombre_Mes" attribute="1" defaultMemberUniqueName="[Dim_Meses_Puente].[Nombre_Mes].[All]" allUniqueName="[Dim_Meses_Puente].[Nombre_Mes].[All]" dimensionUniqueName="[Dim_Meses_Puente]" displayFolder="" count="2" memberValueDatatype="130" unbalanced="0"/>
    <cacheHierarchy uniqueName="[Dim_Meses_Puente].[Año]" caption="Año" attribute="1" defaultMemberUniqueName="[Dim_Meses_Puente].[Año].[All]" allUniqueName="[Dim_Meses_Puente].[Año].[All]" dimensionUniqueName="[Dim_Meses_Puente]" displayFolder="" count="2" memberValueDatatype="20" unbalanced="0"/>
    <cacheHierarchy uniqueName="[Dim_Meses_Puente].[Trimestre]" caption="Trimestre" attribute="1" defaultMemberUniqueName="[Dim_Meses_Puente].[Trimestre].[All]" allUniqueName="[Dim_Meses_Puente].[Trimestre].[All]" dimensionUniqueName="[Dim_Meses_Puente]" displayFolder="" count="2" memberValueDatatype="130" unbalanced="0">
      <fieldsUsage count="2">
        <fieldUsage x="-1"/>
        <fieldUsage x="2"/>
      </fieldsUsage>
    </cacheHierarchy>
    <cacheHierarchy uniqueName="[Dim_Producto].[ID_Producto]" caption="ID_Producto" attribute="1" defaultMemberUniqueName="[Dim_Producto].[ID_Producto].[All]" allUniqueName="[Dim_Producto].[ID_Producto].[All]" dimensionUniqueName="[Dim_Producto]" displayFolder="" count="2" memberValueDatatype="130" unbalanced="0"/>
    <cacheHierarchy uniqueName="[Dim_Producto].[Producto_Categoria]" caption="Producto_Categoria" attribute="1" defaultMemberUniqueName="[Dim_Producto].[Producto_Categoria].[All]" allUniqueName="[Dim_Producto].[Producto_Categoria].[All]" dimensionUniqueName="[Dim_Producto]" displayFolder="" count="2" memberValueDatatype="130" unbalanced="0">
      <fieldsUsage count="2">
        <fieldUsage x="-1"/>
        <fieldUsage x="0"/>
      </fieldsUsage>
    </cacheHierarchy>
    <cacheHierarchy uniqueName="[Dim_Tiempo].[Fecha]" caption="Fecha" attribute="1" time="1" defaultMemberUniqueName="[Dim_Tiempo].[Fecha].[All]" allUniqueName="[Dim_Tiempo].[Fecha].[All]" dimensionUniqueName="[Dim_Tiempo]" displayFolder="" count="2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/>
    <cacheHierarchy uniqueName="[Dim_Tiempo].[Trimestre]" caption="Trimestre" attribute="1" defaultMemberUniqueName="[Dim_Tiempo].[Trimestre].[All]" allUniqueName="[Dim_Tiempo].[Trimestre].[All]" dimensionUniqueName="[Dim_Tiempo]" displayFolder="" count="2" memberValueDatatype="130" unbalanced="0"/>
    <cacheHierarchy uniqueName="[Dim_Tiempo].[Mes]" caption="Mes" attribute="1" defaultMemberUniqueName="[Dim_Tiempo].[Mes].[All]" allUniqueName="[Dim_Tiempo].[Mes].[All]" dimensionUniqueName="[Dim_Tiempo]" displayFolder="" count="2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2" memberValueDatatype="20" unbalanced="0"/>
    <cacheHierarchy uniqueName="[Dim_Tiempo].[ID_Mes]" caption="ID_Mes" attribute="1" defaultMemberUniqueName="[Dim_Tiempo].[ID_Mes].[All]" allUniqueName="[Dim_Tiempo].[ID_Mes].[All]" dimensionUniqueName="[Dim_Tiempo]" displayFolder="" count="2" memberValueDatatype="130" unbalanced="0"/>
    <cacheHierarchy uniqueName="[Fact_Ventas].[ID_Venta]" caption="ID_Venta" attribute="1" defaultMemberUniqueName="[Fact_Ventas].[ID_Venta].[All]" allUniqueName="[Fact_Ventas].[ID_Venta].[All]" dimensionUniqueName="[Fact_Ventas]" displayFolder="" count="2" memberValueDatatype="130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2" memberValueDatatype="13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2" memberValueDatatype="130" unbalanced="0"/>
    <cacheHierarchy uniqueName="[Fact_Ventas].[Fecha]" caption="Fecha" attribute="1" time="1" defaultMemberUniqueName="[Fact_Ventas].[Fecha].[All]" allUniqueName="[Fact_Ventas].[Fecha].[All]" dimensionUniqueName="[Fact_Ventas]" displayFolder="" count="2" memberValueDatatype="7" unbalanced="0"/>
    <cacheHierarchy uniqueName="[Fact_Ventas].[Ingreso_Venta]" caption="Ingreso_Venta" attribute="1" defaultMemberUniqueName="[Fact_Ventas].[Ingreso_Venta].[All]" allUniqueName="[Fact_Ventas].[Ingreso_Venta].[All]" dimensionUniqueName="[Fact_Ventas]" displayFolder="" count="2" memberValueDatatype="20" unbalanced="0"/>
    <cacheHierarchy uniqueName="[Fact_Ventas].[Costo_Directo_Producto]" caption="Costo_Directo_Producto" attribute="1" defaultMemberUniqueName="[Fact_Ventas].[Costo_Directo_Producto].[All]" allUniqueName="[Fact_Ventas].[Costo_Directo_Producto].[All]" dimensionUniqueName="[Fact_Ventas]" displayFolder="" count="2" memberValueDatatype="20" unbalanced="0"/>
    <cacheHierarchy uniqueName="[Measures].[Total_Ingresos]" caption="Total_Ingresos" measure="1" displayFolder="" measureGroup="Fact_Ventas" count="0"/>
    <cacheHierarchy uniqueName="[Measures].[Total_Costo_Directo]" caption="Total_Costo_Directo" measure="1" displayFolder="" measureGroup="Fact_Ventas" count="0"/>
    <cacheHierarchy uniqueName="[Measures].[Margen_Bruto]" caption="Margen_Bruto" measure="1" displayFolder="" measureGroup="Fact_Ventas" count="0"/>
    <cacheHierarchy uniqueName="[Measures].[Porcentaje_Margen_Bruto]" caption="Porcentaje_Margen_Bruto" measure="1" displayFolder="" measureGroup="Fact_Ventas" count="0" oneField="1">
      <fieldsUsage count="1">
        <fieldUsage x="1"/>
      </fieldsUsage>
    </cacheHierarchy>
    <cacheHierarchy uniqueName="[Measures].[Total_Gastos_Ops]" caption="Total_Gastos_Ops" measure="1" displayFolder="" measureGroup="Dim_Gastos_Operativos" count="0"/>
    <cacheHierarchy uniqueName="[Measures].[EBITDA]" caption="EBITDA" measure="1" displayFolder="" measureGroup="Dim_Gastos_Operativos" count="0"/>
    <cacheHierarchy uniqueName="[Measures].[Margen_Neto]" caption="Margen_Neto" measure="1" displayFolder="" measureGroup="Dim_Gastos_Operativos" count="0"/>
    <cacheHierarchy uniqueName="[Measures].[Total_CAC]" caption="Total_CAC" measure="1" displayFolder="" measureGroup="Dim_Clientes_Marketing" count="0"/>
    <cacheHierarchy uniqueName="[Measures].[LTV]" caption="LTV" measure="1" displayFolder="" measureGroup="Dim_Clientes_Marketing" count="0"/>
    <cacheHierarchy uniqueName="[Measures].[Relacion_LTV_CAC]" caption="Relacion_LTV_CAC" measure="1" displayFolder="" measureGroup="Dim_Clientes_Marketing" count="0"/>
    <cacheHierarchy uniqueName="[Measures].[ROI]" caption="ROI" measure="1" displayFolder="" measureGroup="Dim_Clientes_Marketing" count="0"/>
    <cacheHierarchy uniqueName="[Measures].[__XL_Count Fact_Ventas]" caption="__XL_Count Fact_Ventas" measure="1" displayFolder="" measureGroup="Fact_Ventas" count="0" hidden="1"/>
    <cacheHierarchy uniqueName="[Measures].[__XL_Count Dim_Clientes_Marketing]" caption="__XL_Count Dim_Clientes_Marketing" measure="1" displayFolder="" measureGroup="Dim_Clientes_Marketing" count="0" hidden="1"/>
    <cacheHierarchy uniqueName="[Measures].[__XL_Count Dim_Gastos_Operativos]" caption="__XL_Count Dim_Gastos_Operativos" measure="1" displayFolder="" measureGroup="Dim_Gastos_Operativos" count="0" hidden="1"/>
    <cacheHierarchy uniqueName="[Measures].[__XL_Count Dim_Tiempo]" caption="__XL_Count Dim_Tiempo" measure="1" displayFolder="" measureGroup="Dim_Tiempo" count="0" hidden="1"/>
    <cacheHierarchy uniqueName="[Measures].[__XL_Count Tabla10]" caption="__XL_Count Tabla10" measure="1" displayFolder="" measureGroup="Dim_Producto" count="0" hidden="1"/>
    <cacheHierarchy uniqueName="[Measures].[__XL_Count Dim_Meses_Puente]" caption="__XL_Count Dim_Meses_Puente" measure="1" displayFolder="" measureGroup="Dim_Meses_Puente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s_Marketing" uniqueName="[Dim_Clientes_Marketing]" caption="Dim_Clientes_Marketing"/>
    <dimension name="Dim_Gastos_Operativos" uniqueName="[Dim_Gastos_Operativos]" caption="Dim_Gastos_Operativos"/>
    <dimension name="Dim_Meses_Puente" uniqueName="[Dim_Meses_Puente]" caption="Dim_Meses_Puente"/>
    <dimension name="Dim_Producto" uniqueName="[Dim_Producto]" caption="Dim_Producto"/>
    <dimension name="Dim_Tiempo" uniqueName="[Dim_Tiempo]" caption="Dim_Tiempo"/>
    <dimension name="Fact_Ventas" uniqueName="[Fact_Ventas]" caption="Fact_Ventas"/>
    <dimension measure="1" name="Measures" uniqueName="[Measures]" caption="Measures"/>
  </dimensions>
  <measureGroups count="6">
    <measureGroup name="Dim_Clientes_Marketing" caption="Dim_Clientes_Marketing"/>
    <measureGroup name="Dim_Gastos_Operativos" caption="Dim_Gastos_Operativos"/>
    <measureGroup name="Dim_Meses_Puente" caption="Dim_Meses_Puente"/>
    <measureGroup name="Dim_Producto" caption="Dim_Producto"/>
    <measureGroup name="Dim_Tiempo" caption="Dim_Tiempo"/>
    <measureGroup name="Fact_Ventas" caption="Fact_Ventas"/>
  </measureGroups>
  <maps count="12">
    <map measureGroup="0" dimension="0"/>
    <map measureGroup="1" dimension="1"/>
    <map measureGroup="1" dimension="2"/>
    <map measureGroup="2" dimension="2"/>
    <map measureGroup="3" dimension="3"/>
    <map measureGroup="4" dimension="2"/>
    <map measureGroup="4" dimension="4"/>
    <map measureGroup="5" dimension="0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Esteban Rincón Piratoba" refreshedDate="46175.554446180555" backgroundQuery="1" createdVersion="8" refreshedVersion="8" minRefreshableVersion="3" recordCount="0" supportSubquery="1" supportAdvancedDrill="1" xr:uid="{4AB891E9-765D-44A2-8464-06C71B66FCEE}">
  <cacheSource type="external" connectionId="1"/>
  <cacheFields count="2">
    <cacheField name="[Dim_Gastos_Operativos].[Responsable].[Responsable]" caption="Responsable" numFmtId="0" hierarchy="11" level="1">
      <sharedItems count="6">
        <s v="Finanzas"/>
        <s v="Marketing"/>
        <s v="Operaciones"/>
        <s v="Recursos Humanos"/>
        <s v="Tecnología"/>
        <s v="Ventas"/>
      </sharedItems>
    </cacheField>
    <cacheField name="[Measures].[Total_Gastos_Ops]" caption="Total_Gastos_Ops" numFmtId="0" hierarchy="35" level="32767"/>
  </cacheFields>
  <cacheHierarchies count="49">
    <cacheHierarchy uniqueName="[Dim_Clientes_Marketing].[ID_Cliente]" caption="ID_Cliente" attribute="1" defaultMemberUniqueName="[Dim_Clientes_Marketing].[ID_Cliente].[All]" allUniqueName="[Dim_Clientes_Marketing].[ID_Cliente].[All]" dimensionUniqueName="[Dim_Clientes_Marketing]" displayFolder="" count="2" memberValueDatatype="130" unbalanced="0"/>
    <cacheHierarchy uniqueName="[Dim_Clientes_Marketing].[Canal_Adquisicion]" caption="Canal_Adquisicion" attribute="1" defaultMemberUniqueName="[Dim_Clientes_Marketing].[Canal_Adquisicion].[All]" allUniqueName="[Dim_Clientes_Marketing].[Canal_Adquisicion].[All]" dimensionUniqueName="[Dim_Clientes_Marketing]" displayFolder="" count="2" memberValueDatatype="130" unbalanced="0"/>
    <cacheHierarchy uniqueName="[Dim_Clientes_Marketing].[Costo_Adquisicion_CAC]" caption="Costo_Adquisicion_CAC" attribute="1" defaultMemberUniqueName="[Dim_Clientes_Marketing].[Costo_Adquisicion_CAC].[All]" allUniqueName="[Dim_Clientes_Marketing].[Costo_Adquisicion_CAC].[All]" dimensionUniqueName="[Dim_Clientes_Marketing]" displayFolder="" count="2" memberValueDatatype="20" unbalanced="0"/>
    <cacheHierarchy uniqueName="[Dim_Clientes_Marketing].[Fecha_Registro]" caption="Fecha_Registro" attribute="1" time="1" defaultMemberUniqueName="[Dim_Clientes_Marketing].[Fecha_Registro].[All]" allUniqueName="[Dim_Clientes_Marketing].[Fecha_Registro].[All]" dimensionUniqueName="[Dim_Clientes_Marketing]" displayFolder="" count="2" memberValueDatatype="7" unbalanced="0"/>
    <cacheHierarchy uniqueName="[Dim_Clientes_Marketing].[ID_Mes]" caption="ID_Mes" attribute="1" defaultMemberUniqueName="[Dim_Clientes_Marketing].[ID_Mes].[All]" allUniqueName="[Dim_Clientes_Marketing].[ID_Mes].[All]" dimensionUniqueName="[Dim_Clientes_Marketing]" displayFolder="" count="2" memberValueDatatype="130" unbalanced="0"/>
    <cacheHierarchy uniqueName="[Dim_Clientes_Marketing].[Trimestre_Registro]" caption="Trimestre_Registro" attribute="1" defaultMemberUniqueName="[Dim_Clientes_Marketing].[Trimestre_Registro].[All]" allUniqueName="[Dim_Clientes_Marketing].[Trimestre_Registro].[All]" dimensionUniqueName="[Dim_Clientes_Marketing]" displayFolder="" count="2" memberValueDatatype="130" unbalanced="0"/>
    <cacheHierarchy uniqueName="[Dim_Gastos_Operativos].[ID_Gasto]" caption="ID_Gasto" attribute="1" defaultMemberUniqueName="[Dim_Gastos_Operativos].[ID_Gasto].[All]" allUniqueName="[Dim_Gastos_Operativos].[ID_Gasto].[All]" dimensionUniqueName="[Dim_Gastos_Operativos]" displayFolder="" count="2" memberValueDatatype="130" unbalanced="0"/>
    <cacheHierarchy uniqueName="[Dim_Gastos_Operativos].[Año]" caption="Año" attribute="1" defaultMemberUniqueName="[Dim_Gastos_Operativos].[Año].[All]" allUniqueName="[Dim_Gastos_Operativos].[Año].[All]" dimensionUniqueName="[Dim_Gastos_Operativos]" displayFolder="" count="2" memberValueDatatype="20" unbalanced="0"/>
    <cacheHierarchy uniqueName="[Dim_Gastos_Operativos].[ID_Mes]" caption="ID_Mes" attribute="1" defaultMemberUniqueName="[Dim_Gastos_Operativos].[ID_Mes].[All]" allUniqueName="[Dim_Gastos_Operativos].[ID_Mes].[All]" dimensionUniqueName="[Dim_Gastos_Operativos]" displayFolder="" count="2" memberValueDatatype="130" unbalanced="0"/>
    <cacheHierarchy uniqueName="[Dim_Gastos_Operativos].[Categoria_Gasto]" caption="Categoria_Gasto" attribute="1" defaultMemberUniqueName="[Dim_Gastos_Operativos].[Categoria_Gasto].[All]" allUniqueName="[Dim_Gastos_Operativos].[Categoria_Gasto].[All]" dimensionUniqueName="[Dim_Gastos_Operativos]" displayFolder="" count="2" memberValueDatatype="130" unbalanced="0"/>
    <cacheHierarchy uniqueName="[Dim_Gastos_Operativos].[Monto_Gasto]" caption="Monto_Gasto" attribute="1" defaultMemberUniqueName="[Dim_Gastos_Operativos].[Monto_Gasto].[All]" allUniqueName="[Dim_Gastos_Operativos].[Monto_Gasto].[All]" dimensionUniqueName="[Dim_Gastos_Operativos]" displayFolder="" count="2" memberValueDatatype="20" unbalanced="0"/>
    <cacheHierarchy uniqueName="[Dim_Gastos_Operativos].[Responsable]" caption="Responsable" attribute="1" defaultMemberUniqueName="[Dim_Gastos_Operativos].[Responsable].[All]" allUniqueName="[Dim_Gastos_Operativos].[Responsable].[All]" dimensionUniqueName="[Dim_Gastos_Operativos]" displayFolder="" count="2" memberValueDatatype="130" unbalanced="0">
      <fieldsUsage count="2">
        <fieldUsage x="-1"/>
        <fieldUsage x="0"/>
      </fieldsUsage>
    </cacheHierarchy>
    <cacheHierarchy uniqueName="[Dim_Gastos_Operativos].[Descripcion]" caption="Descripcion" attribute="1" defaultMemberUniqueName="[Dim_Gastos_Operativos].[Descripcion].[All]" allUniqueName="[Dim_Gastos_Operativos].[Descripcion].[All]" dimensionUniqueName="[Dim_Gastos_Operativos]" displayFolder="" count="2" memberValueDatatype="130" unbalanced="0"/>
    <cacheHierarchy uniqueName="[Dim_Meses_Puente].[ID_Mes]" caption="ID_Mes" attribute="1" defaultMemberUniqueName="[Dim_Meses_Puente].[ID_Mes].[All]" allUniqueName="[Dim_Meses_Puente].[ID_Mes].[All]" dimensionUniqueName="[Dim_Meses_Puente]" displayFolder="" count="2" memberValueDatatype="130" unbalanced="0"/>
    <cacheHierarchy uniqueName="[Dim_Meses_Puente].[Nombre_Mes]" caption="Nombre_Mes" attribute="1" defaultMemberUniqueName="[Dim_Meses_Puente].[Nombre_Mes].[All]" allUniqueName="[Dim_Meses_Puente].[Nombre_Mes].[All]" dimensionUniqueName="[Dim_Meses_Puente]" displayFolder="" count="2" memberValueDatatype="130" unbalanced="0"/>
    <cacheHierarchy uniqueName="[Dim_Meses_Puente].[Año]" caption="Año" attribute="1" defaultMemberUniqueName="[Dim_Meses_Puente].[Año].[All]" allUniqueName="[Dim_Meses_Puente].[Año].[All]" dimensionUniqueName="[Dim_Meses_Puente]" displayFolder="" count="2" memberValueDatatype="20" unbalanced="0"/>
    <cacheHierarchy uniqueName="[Dim_Meses_Puente].[Trimestre]" caption="Trimestre" attribute="1" defaultMemberUniqueName="[Dim_Meses_Puente].[Trimestre].[All]" allUniqueName="[Dim_Meses_Puente].[Trimestre].[All]" dimensionUniqueName="[Dim_Meses_Puente]" displayFolder="" count="2" memberValueDatatype="130" unbalanced="0"/>
    <cacheHierarchy uniqueName="[Dim_Producto].[ID_Producto]" caption="ID_Producto" attribute="1" defaultMemberUniqueName="[Dim_Producto].[ID_Producto].[All]" allUniqueName="[Dim_Producto].[ID_Producto].[All]" dimensionUniqueName="[Dim_Producto]" displayFolder="" count="2" memberValueDatatype="130" unbalanced="0"/>
    <cacheHierarchy uniqueName="[Dim_Producto].[Producto_Categoria]" caption="Producto_Categoria" attribute="1" defaultMemberUniqueName="[Dim_Producto].[Producto_Categoria].[All]" allUniqueName="[Dim_Producto].[Producto_Categoria].[All]" dimensionUniqueName="[Dim_Producto]" displayFolder="" count="2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2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/>
    <cacheHierarchy uniqueName="[Dim_Tiempo].[Trimestre]" caption="Trimestre" attribute="1" defaultMemberUniqueName="[Dim_Tiempo].[Trimestre].[All]" allUniqueName="[Dim_Tiempo].[Trimestre].[All]" dimensionUniqueName="[Dim_Tiempo]" displayFolder="" count="2" memberValueDatatype="130" unbalanced="0"/>
    <cacheHierarchy uniqueName="[Dim_Tiempo].[Mes]" caption="Mes" attribute="1" defaultMemberUniqueName="[Dim_Tiempo].[Mes].[All]" allUniqueName="[Dim_Tiempo].[Mes].[All]" dimensionUniqueName="[Dim_Tiempo]" displayFolder="" count="2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2" memberValueDatatype="20" unbalanced="0"/>
    <cacheHierarchy uniqueName="[Dim_Tiempo].[ID_Mes]" caption="ID_Mes" attribute="1" defaultMemberUniqueName="[Dim_Tiempo].[ID_Mes].[All]" allUniqueName="[Dim_Tiempo].[ID_Mes].[All]" dimensionUniqueName="[Dim_Tiempo]" displayFolder="" count="2" memberValueDatatype="130" unbalanced="0"/>
    <cacheHierarchy uniqueName="[Fact_Ventas].[ID_Venta]" caption="ID_Venta" attribute="1" defaultMemberUniqueName="[Fact_Ventas].[ID_Venta].[All]" allUniqueName="[Fact_Ventas].[ID_Venta].[All]" dimensionUniqueName="[Fact_Ventas]" displayFolder="" count="2" memberValueDatatype="130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2" memberValueDatatype="13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2" memberValueDatatype="130" unbalanced="0"/>
    <cacheHierarchy uniqueName="[Fact_Ventas].[Fecha]" caption="Fecha" attribute="1" time="1" defaultMemberUniqueName="[Fact_Ventas].[Fecha].[All]" allUniqueName="[Fact_Ventas].[Fecha].[All]" dimensionUniqueName="[Fact_Ventas]" displayFolder="" count="2" memberValueDatatype="7" unbalanced="0"/>
    <cacheHierarchy uniqueName="[Fact_Ventas].[Ingreso_Venta]" caption="Ingreso_Venta" attribute="1" defaultMemberUniqueName="[Fact_Ventas].[Ingreso_Venta].[All]" allUniqueName="[Fact_Ventas].[Ingreso_Venta].[All]" dimensionUniqueName="[Fact_Ventas]" displayFolder="" count="2" memberValueDatatype="20" unbalanced="0"/>
    <cacheHierarchy uniqueName="[Fact_Ventas].[Costo_Directo_Producto]" caption="Costo_Directo_Producto" attribute="1" defaultMemberUniqueName="[Fact_Ventas].[Costo_Directo_Producto].[All]" allUniqueName="[Fact_Ventas].[Costo_Directo_Producto].[All]" dimensionUniqueName="[Fact_Ventas]" displayFolder="" count="2" memberValueDatatype="20" unbalanced="0"/>
    <cacheHierarchy uniqueName="[Measures].[Total_Ingresos]" caption="Total_Ingresos" measure="1" displayFolder="" measureGroup="Fact_Ventas" count="0"/>
    <cacheHierarchy uniqueName="[Measures].[Total_Costo_Directo]" caption="Total_Costo_Directo" measure="1" displayFolder="" measureGroup="Fact_Ventas" count="0"/>
    <cacheHierarchy uniqueName="[Measures].[Margen_Bruto]" caption="Margen_Bruto" measure="1" displayFolder="" measureGroup="Fact_Ventas" count="0"/>
    <cacheHierarchy uniqueName="[Measures].[Porcentaje_Margen_Bruto]" caption="Porcentaje_Margen_Bruto" measure="1" displayFolder="" measureGroup="Fact_Ventas" count="0"/>
    <cacheHierarchy uniqueName="[Measures].[Total_Gastos_Ops]" caption="Total_Gastos_Ops" measure="1" displayFolder="" measureGroup="Dim_Gastos_Operativos" count="0" oneField="1">
      <fieldsUsage count="1">
        <fieldUsage x="1"/>
      </fieldsUsage>
    </cacheHierarchy>
    <cacheHierarchy uniqueName="[Measures].[EBITDA]" caption="EBITDA" measure="1" displayFolder="" measureGroup="Dim_Gastos_Operativos" count="0"/>
    <cacheHierarchy uniqueName="[Measures].[Margen_Neto]" caption="Margen_Neto" measure="1" displayFolder="" measureGroup="Dim_Gastos_Operativos" count="0"/>
    <cacheHierarchy uniqueName="[Measures].[Total_CAC]" caption="Total_CAC" measure="1" displayFolder="" measureGroup="Dim_Clientes_Marketing" count="0"/>
    <cacheHierarchy uniqueName="[Measures].[LTV]" caption="LTV" measure="1" displayFolder="" measureGroup="Dim_Clientes_Marketing" count="0"/>
    <cacheHierarchy uniqueName="[Measures].[Relacion_LTV_CAC]" caption="Relacion_LTV_CAC" measure="1" displayFolder="" measureGroup="Dim_Clientes_Marketing" count="0"/>
    <cacheHierarchy uniqueName="[Measures].[ROI]" caption="ROI" measure="1" displayFolder="" measureGroup="Dim_Clientes_Marketing" count="0"/>
    <cacheHierarchy uniqueName="[Measures].[__XL_Count Fact_Ventas]" caption="__XL_Count Fact_Ventas" measure="1" displayFolder="" measureGroup="Fact_Ventas" count="0" hidden="1"/>
    <cacheHierarchy uniqueName="[Measures].[__XL_Count Dim_Clientes_Marketing]" caption="__XL_Count Dim_Clientes_Marketing" measure="1" displayFolder="" measureGroup="Dim_Clientes_Marketing" count="0" hidden="1"/>
    <cacheHierarchy uniqueName="[Measures].[__XL_Count Dim_Gastos_Operativos]" caption="__XL_Count Dim_Gastos_Operativos" measure="1" displayFolder="" measureGroup="Dim_Gastos_Operativos" count="0" hidden="1"/>
    <cacheHierarchy uniqueName="[Measures].[__XL_Count Dim_Tiempo]" caption="__XL_Count Dim_Tiempo" measure="1" displayFolder="" measureGroup="Dim_Tiempo" count="0" hidden="1"/>
    <cacheHierarchy uniqueName="[Measures].[__XL_Count Tabla10]" caption="__XL_Count Tabla10" measure="1" displayFolder="" measureGroup="Dim_Producto" count="0" hidden="1"/>
    <cacheHierarchy uniqueName="[Measures].[__XL_Count Dim_Meses_Puente]" caption="__XL_Count Dim_Meses_Puente" measure="1" displayFolder="" measureGroup="Dim_Meses_Puente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s_Marketing" uniqueName="[Dim_Clientes_Marketing]" caption="Dim_Clientes_Marketing"/>
    <dimension name="Dim_Gastos_Operativos" uniqueName="[Dim_Gastos_Operativos]" caption="Dim_Gastos_Operativos"/>
    <dimension name="Dim_Meses_Puente" uniqueName="[Dim_Meses_Puente]" caption="Dim_Meses_Puente"/>
    <dimension name="Dim_Producto" uniqueName="[Dim_Producto]" caption="Dim_Producto"/>
    <dimension name="Dim_Tiempo" uniqueName="[Dim_Tiempo]" caption="Dim_Tiempo"/>
    <dimension name="Fact_Ventas" uniqueName="[Fact_Ventas]" caption="Fact_Ventas"/>
    <dimension measure="1" name="Measures" uniqueName="[Measures]" caption="Measures"/>
  </dimensions>
  <measureGroups count="6">
    <measureGroup name="Dim_Clientes_Marketing" caption="Dim_Clientes_Marketing"/>
    <measureGroup name="Dim_Gastos_Operativos" caption="Dim_Gastos_Operativos"/>
    <measureGroup name="Dim_Meses_Puente" caption="Dim_Meses_Puente"/>
    <measureGroup name="Dim_Producto" caption="Dim_Producto"/>
    <measureGroup name="Dim_Tiempo" caption="Dim_Tiempo"/>
    <measureGroup name="Fact_Ventas" caption="Fact_Ventas"/>
  </measureGroups>
  <maps count="12">
    <map measureGroup="0" dimension="0"/>
    <map measureGroup="1" dimension="1"/>
    <map measureGroup="1" dimension="2"/>
    <map measureGroup="2" dimension="2"/>
    <map measureGroup="3" dimension="3"/>
    <map measureGroup="4" dimension="2"/>
    <map measureGroup="4" dimension="4"/>
    <map measureGroup="5" dimension="0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Esteban Rincón Piratoba" refreshedDate="46175.554446412039" backgroundQuery="1" createdVersion="8" refreshedVersion="8" minRefreshableVersion="3" recordCount="0" supportSubquery="1" supportAdvancedDrill="1" xr:uid="{2FA5E77C-350D-4D14-BDA8-89229258004A}">
  <cacheSource type="external" connectionId="1"/>
  <cacheFields count="5">
    <cacheField name="[Measures].[Total_Ingresos]" caption="Total_Ingresos" numFmtId="0" hierarchy="31" level="32767"/>
    <cacheField name="[Measures].[EBITDA]" caption="EBITDA" numFmtId="0" hierarchy="36" level="32767"/>
    <cacheField name="[Dim_Meses_Puente].[Trimestre].[Trimestre]" caption="Trimestre" numFmtId="0" hierarchy="16" level="1">
      <sharedItems count="4">
        <s v="2025-T1"/>
        <s v="2025-T2"/>
        <s v="2025-T3"/>
        <s v="2025-T4"/>
      </sharedItems>
    </cacheField>
    <cacheField name="[Measures].[Porcentaje_Margen_Bruto]" caption="Porcentaje_Margen_Bruto" numFmtId="0" hierarchy="34" level="32767"/>
    <cacheField name="[Dim_Gastos_Operativos].[Responsable].[Responsable]" caption="Responsable" numFmtId="0" hierarchy="11" level="1">
      <sharedItems containsSemiMixedTypes="0" containsNonDate="0" containsString="0"/>
    </cacheField>
  </cacheFields>
  <cacheHierarchies count="49">
    <cacheHierarchy uniqueName="[Dim_Clientes_Marketing].[ID_Cliente]" caption="ID_Cliente" attribute="1" defaultMemberUniqueName="[Dim_Clientes_Marketing].[ID_Cliente].[All]" allUniqueName="[Dim_Clientes_Marketing].[ID_Cliente].[All]" dimensionUniqueName="[Dim_Clientes_Marketing]" displayFolder="" count="2" memberValueDatatype="130" unbalanced="0"/>
    <cacheHierarchy uniqueName="[Dim_Clientes_Marketing].[Canal_Adquisicion]" caption="Canal_Adquisicion" attribute="1" defaultMemberUniqueName="[Dim_Clientes_Marketing].[Canal_Adquisicion].[All]" allUniqueName="[Dim_Clientes_Marketing].[Canal_Adquisicion].[All]" dimensionUniqueName="[Dim_Clientes_Marketing]" displayFolder="" count="2" memberValueDatatype="130" unbalanced="0"/>
    <cacheHierarchy uniqueName="[Dim_Clientes_Marketing].[Costo_Adquisicion_CAC]" caption="Costo_Adquisicion_CAC" attribute="1" defaultMemberUniqueName="[Dim_Clientes_Marketing].[Costo_Adquisicion_CAC].[All]" allUniqueName="[Dim_Clientes_Marketing].[Costo_Adquisicion_CAC].[All]" dimensionUniqueName="[Dim_Clientes_Marketing]" displayFolder="" count="2" memberValueDatatype="20" unbalanced="0"/>
    <cacheHierarchy uniqueName="[Dim_Clientes_Marketing].[Fecha_Registro]" caption="Fecha_Registro" attribute="1" time="1" defaultMemberUniqueName="[Dim_Clientes_Marketing].[Fecha_Registro].[All]" allUniqueName="[Dim_Clientes_Marketing].[Fecha_Registro].[All]" dimensionUniqueName="[Dim_Clientes_Marketing]" displayFolder="" count="2" memberValueDatatype="7" unbalanced="0"/>
    <cacheHierarchy uniqueName="[Dim_Clientes_Marketing].[ID_Mes]" caption="ID_Mes" attribute="1" defaultMemberUniqueName="[Dim_Clientes_Marketing].[ID_Mes].[All]" allUniqueName="[Dim_Clientes_Marketing].[ID_Mes].[All]" dimensionUniqueName="[Dim_Clientes_Marketing]" displayFolder="" count="2" memberValueDatatype="130" unbalanced="0"/>
    <cacheHierarchy uniqueName="[Dim_Clientes_Marketing].[Trimestre_Registro]" caption="Trimestre_Registro" attribute="1" defaultMemberUniqueName="[Dim_Clientes_Marketing].[Trimestre_Registro].[All]" allUniqueName="[Dim_Clientes_Marketing].[Trimestre_Registro].[All]" dimensionUniqueName="[Dim_Clientes_Marketing]" displayFolder="" count="2" memberValueDatatype="130" unbalanced="0"/>
    <cacheHierarchy uniqueName="[Dim_Gastos_Operativos].[ID_Gasto]" caption="ID_Gasto" attribute="1" defaultMemberUniqueName="[Dim_Gastos_Operativos].[ID_Gasto].[All]" allUniqueName="[Dim_Gastos_Operativos].[ID_Gasto].[All]" dimensionUniqueName="[Dim_Gastos_Operativos]" displayFolder="" count="2" memberValueDatatype="130" unbalanced="0"/>
    <cacheHierarchy uniqueName="[Dim_Gastos_Operativos].[Año]" caption="Año" attribute="1" defaultMemberUniqueName="[Dim_Gastos_Operativos].[Año].[All]" allUniqueName="[Dim_Gastos_Operativos].[Año].[All]" dimensionUniqueName="[Dim_Gastos_Operativos]" displayFolder="" count="2" memberValueDatatype="20" unbalanced="0"/>
    <cacheHierarchy uniqueName="[Dim_Gastos_Operativos].[ID_Mes]" caption="ID_Mes" attribute="1" defaultMemberUniqueName="[Dim_Gastos_Operativos].[ID_Mes].[All]" allUniqueName="[Dim_Gastos_Operativos].[ID_Mes].[All]" dimensionUniqueName="[Dim_Gastos_Operativos]" displayFolder="" count="2" memberValueDatatype="130" unbalanced="0"/>
    <cacheHierarchy uniqueName="[Dim_Gastos_Operativos].[Categoria_Gasto]" caption="Categoria_Gasto" attribute="1" defaultMemberUniqueName="[Dim_Gastos_Operativos].[Categoria_Gasto].[All]" allUniqueName="[Dim_Gastos_Operativos].[Categoria_Gasto].[All]" dimensionUniqueName="[Dim_Gastos_Operativos]" displayFolder="" count="2" memberValueDatatype="130" unbalanced="0"/>
    <cacheHierarchy uniqueName="[Dim_Gastos_Operativos].[Monto_Gasto]" caption="Monto_Gasto" attribute="1" defaultMemberUniqueName="[Dim_Gastos_Operativos].[Monto_Gasto].[All]" allUniqueName="[Dim_Gastos_Operativos].[Monto_Gasto].[All]" dimensionUniqueName="[Dim_Gastos_Operativos]" displayFolder="" count="2" memberValueDatatype="20" unbalanced="0"/>
    <cacheHierarchy uniqueName="[Dim_Gastos_Operativos].[Responsable]" caption="Responsable" attribute="1" defaultMemberUniqueName="[Dim_Gastos_Operativos].[Responsable].[All]" allUniqueName="[Dim_Gastos_Operativos].[Responsable].[All]" dimensionUniqueName="[Dim_Gastos_Operativos]" displayFolder="" count="2" memberValueDatatype="130" unbalanced="0">
      <fieldsUsage count="2">
        <fieldUsage x="-1"/>
        <fieldUsage x="4"/>
      </fieldsUsage>
    </cacheHierarchy>
    <cacheHierarchy uniqueName="[Dim_Gastos_Operativos].[Descripcion]" caption="Descripcion" attribute="1" defaultMemberUniqueName="[Dim_Gastos_Operativos].[Descripcion].[All]" allUniqueName="[Dim_Gastos_Operativos].[Descripcion].[All]" dimensionUniqueName="[Dim_Gastos_Operativos]" displayFolder="" count="2" memberValueDatatype="130" unbalanced="0"/>
    <cacheHierarchy uniqueName="[Dim_Meses_Puente].[ID_Mes]" caption="ID_Mes" attribute="1" defaultMemberUniqueName="[Dim_Meses_Puente].[ID_Mes].[All]" allUniqueName="[Dim_Meses_Puente].[ID_Mes].[All]" dimensionUniqueName="[Dim_Meses_Puente]" displayFolder="" count="2" memberValueDatatype="130" unbalanced="0"/>
    <cacheHierarchy uniqueName="[Dim_Meses_Puente].[Nombre_Mes]" caption="Nombre_Mes" attribute="1" defaultMemberUniqueName="[Dim_Meses_Puente].[Nombre_Mes].[All]" allUniqueName="[Dim_Meses_Puente].[Nombre_Mes].[All]" dimensionUniqueName="[Dim_Meses_Puente]" displayFolder="" count="2" memberValueDatatype="130" unbalanced="0"/>
    <cacheHierarchy uniqueName="[Dim_Meses_Puente].[Año]" caption="Año" attribute="1" defaultMemberUniqueName="[Dim_Meses_Puente].[Año].[All]" allUniqueName="[Dim_Meses_Puente].[Año].[All]" dimensionUniqueName="[Dim_Meses_Puente]" displayFolder="" count="2" memberValueDatatype="20" unbalanced="0"/>
    <cacheHierarchy uniqueName="[Dim_Meses_Puente].[Trimestre]" caption="Trimestre" attribute="1" defaultMemberUniqueName="[Dim_Meses_Puente].[Trimestre].[All]" allUniqueName="[Dim_Meses_Puente].[Trimestre].[All]" dimensionUniqueName="[Dim_Meses_Puente]" displayFolder="" count="2" memberValueDatatype="130" unbalanced="0">
      <fieldsUsage count="2">
        <fieldUsage x="-1"/>
        <fieldUsage x="2"/>
      </fieldsUsage>
    </cacheHierarchy>
    <cacheHierarchy uniqueName="[Dim_Producto].[ID_Producto]" caption="ID_Producto" attribute="1" defaultMemberUniqueName="[Dim_Producto].[ID_Producto].[All]" allUniqueName="[Dim_Producto].[ID_Producto].[All]" dimensionUniqueName="[Dim_Producto]" displayFolder="" count="2" memberValueDatatype="130" unbalanced="0"/>
    <cacheHierarchy uniqueName="[Dim_Producto].[Producto_Categoria]" caption="Producto_Categoria" attribute="1" defaultMemberUniqueName="[Dim_Producto].[Producto_Categoria].[All]" allUniqueName="[Dim_Producto].[Producto_Categoria].[All]" dimensionUniqueName="[Dim_Producto]" displayFolder="" count="2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2" memberValueDatatype="7" unbalanced="0"/>
    <cacheHierarchy uniqueName="[Dim_Tiempo].[Año]" caption="Año" attribute="1" defaultMemberUniqueName="[Dim_Tiempo].[Año].[All]" allUniqueName="[Dim_Tiempo].[Año].[All]" dimensionUniqueName="[Dim_Tiempo]" displayFolder="" count="2" memberValueDatatype="20" unbalanced="0"/>
    <cacheHierarchy uniqueName="[Dim_Tiempo].[Trimestre]" caption="Trimestre" attribute="1" defaultMemberUniqueName="[Dim_Tiempo].[Trimestre].[All]" allUniqueName="[Dim_Tiempo].[Trimestre].[All]" dimensionUniqueName="[Dim_Tiempo]" displayFolder="" count="2" memberValueDatatype="130" unbalanced="0"/>
    <cacheHierarchy uniqueName="[Dim_Tiempo].[Mes]" caption="Mes" attribute="1" defaultMemberUniqueName="[Dim_Tiempo].[Mes].[All]" allUniqueName="[Dim_Tiempo].[Mes].[All]" dimensionUniqueName="[Dim_Tiempo]" displayFolder="" count="2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2" memberValueDatatype="20" unbalanced="0"/>
    <cacheHierarchy uniqueName="[Dim_Tiempo].[ID_Mes]" caption="ID_Mes" attribute="1" defaultMemberUniqueName="[Dim_Tiempo].[ID_Mes].[All]" allUniqueName="[Dim_Tiempo].[ID_Mes].[All]" dimensionUniqueName="[Dim_Tiempo]" displayFolder="" count="2" memberValueDatatype="130" unbalanced="0"/>
    <cacheHierarchy uniqueName="[Fact_Ventas].[ID_Venta]" caption="ID_Venta" attribute="1" defaultMemberUniqueName="[Fact_Ventas].[ID_Venta].[All]" allUniqueName="[Fact_Ventas].[ID_Venta].[All]" dimensionUniqueName="[Fact_Ventas]" displayFolder="" count="2" memberValueDatatype="130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2" memberValueDatatype="13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2" memberValueDatatype="130" unbalanced="0"/>
    <cacheHierarchy uniqueName="[Fact_Ventas].[Fecha]" caption="Fecha" attribute="1" time="1" defaultMemberUniqueName="[Fact_Ventas].[Fecha].[All]" allUniqueName="[Fact_Ventas].[Fecha].[All]" dimensionUniqueName="[Fact_Ventas]" displayFolder="" count="2" memberValueDatatype="7" unbalanced="0"/>
    <cacheHierarchy uniqueName="[Fact_Ventas].[Ingreso_Venta]" caption="Ingreso_Venta" attribute="1" defaultMemberUniqueName="[Fact_Ventas].[Ingreso_Venta].[All]" allUniqueName="[Fact_Ventas].[Ingreso_Venta].[All]" dimensionUniqueName="[Fact_Ventas]" displayFolder="" count="2" memberValueDatatype="20" unbalanced="0"/>
    <cacheHierarchy uniqueName="[Fact_Ventas].[Costo_Directo_Producto]" caption="Costo_Directo_Producto" attribute="1" defaultMemberUniqueName="[Fact_Ventas].[Costo_Directo_Producto].[All]" allUniqueName="[Fact_Ventas].[Costo_Directo_Producto].[All]" dimensionUniqueName="[Fact_Ventas]" displayFolder="" count="2" memberValueDatatype="20" unbalanced="0"/>
    <cacheHierarchy uniqueName="[Measures].[Total_Ingresos]" caption="Total_Ingresos" measure="1" displayFolder="" measureGroup="Fact_Ventas" count="0" oneField="1">
      <fieldsUsage count="1">
        <fieldUsage x="0"/>
      </fieldsUsage>
    </cacheHierarchy>
    <cacheHierarchy uniqueName="[Measures].[Total_Costo_Directo]" caption="Total_Costo_Directo" measure="1" displayFolder="" measureGroup="Fact_Ventas" count="0"/>
    <cacheHierarchy uniqueName="[Measures].[Margen_Bruto]" caption="Margen_Bruto" measure="1" displayFolder="" measureGroup="Fact_Ventas" count="0"/>
    <cacheHierarchy uniqueName="[Measures].[Porcentaje_Margen_Bruto]" caption="Porcentaje_Margen_Bruto" measure="1" displayFolder="" measureGroup="Fact_Ventas" count="0" oneField="1">
      <fieldsUsage count="1">
        <fieldUsage x="3"/>
      </fieldsUsage>
    </cacheHierarchy>
    <cacheHierarchy uniqueName="[Measures].[Total_Gastos_Ops]" caption="Total_Gastos_Ops" measure="1" displayFolder="" measureGroup="Dim_Gastos_Operativos" count="0"/>
    <cacheHierarchy uniqueName="[Measures].[EBITDA]" caption="EBITDA" measure="1" displayFolder="" measureGroup="Dim_Gastos_Operativos" count="0" oneField="1">
      <fieldsUsage count="1">
        <fieldUsage x="1"/>
      </fieldsUsage>
    </cacheHierarchy>
    <cacheHierarchy uniqueName="[Measures].[Margen_Neto]" caption="Margen_Neto" measure="1" displayFolder="" measureGroup="Dim_Gastos_Operativos" count="0"/>
    <cacheHierarchy uniqueName="[Measures].[Total_CAC]" caption="Total_CAC" measure="1" displayFolder="" measureGroup="Dim_Clientes_Marketing" count="0"/>
    <cacheHierarchy uniqueName="[Measures].[LTV]" caption="LTV" measure="1" displayFolder="" measureGroup="Dim_Clientes_Marketing" count="0"/>
    <cacheHierarchy uniqueName="[Measures].[Relacion_LTV_CAC]" caption="Relacion_LTV_CAC" measure="1" displayFolder="" measureGroup="Dim_Clientes_Marketing" count="0"/>
    <cacheHierarchy uniqueName="[Measures].[ROI]" caption="ROI" measure="1" displayFolder="" measureGroup="Dim_Clientes_Marketing" count="0"/>
    <cacheHierarchy uniqueName="[Measures].[__XL_Count Fact_Ventas]" caption="__XL_Count Fact_Ventas" measure="1" displayFolder="" measureGroup="Fact_Ventas" count="0" hidden="1"/>
    <cacheHierarchy uniqueName="[Measures].[__XL_Count Dim_Clientes_Marketing]" caption="__XL_Count Dim_Clientes_Marketing" measure="1" displayFolder="" measureGroup="Dim_Clientes_Marketing" count="0" hidden="1"/>
    <cacheHierarchy uniqueName="[Measures].[__XL_Count Dim_Gastos_Operativos]" caption="__XL_Count Dim_Gastos_Operativos" measure="1" displayFolder="" measureGroup="Dim_Gastos_Operativos" count="0" hidden="1"/>
    <cacheHierarchy uniqueName="[Measures].[__XL_Count Dim_Tiempo]" caption="__XL_Count Dim_Tiempo" measure="1" displayFolder="" measureGroup="Dim_Tiempo" count="0" hidden="1"/>
    <cacheHierarchy uniqueName="[Measures].[__XL_Count Tabla10]" caption="__XL_Count Tabla10" measure="1" displayFolder="" measureGroup="Dim_Producto" count="0" hidden="1"/>
    <cacheHierarchy uniqueName="[Measures].[__XL_Count Dim_Meses_Puente]" caption="__XL_Count Dim_Meses_Puente" measure="1" displayFolder="" measureGroup="Dim_Meses_Puente" count="0" hidden="1"/>
    <cacheHierarchy uniqueName="[Measures].[__No hay medidas definidas]" caption="__No hay medidas definidas" measure="1" displayFolder="" count="0" hidden="1"/>
  </cacheHierarchies>
  <kpis count="0"/>
  <dimensions count="7">
    <dimension name="Dim_Clientes_Marketing" uniqueName="[Dim_Clientes_Marketing]" caption="Dim_Clientes_Marketing"/>
    <dimension name="Dim_Gastos_Operativos" uniqueName="[Dim_Gastos_Operativos]" caption="Dim_Gastos_Operativos"/>
    <dimension name="Dim_Meses_Puente" uniqueName="[Dim_Meses_Puente]" caption="Dim_Meses_Puente"/>
    <dimension name="Dim_Producto" uniqueName="[Dim_Producto]" caption="Dim_Producto"/>
    <dimension name="Dim_Tiempo" uniqueName="[Dim_Tiempo]" caption="Dim_Tiempo"/>
    <dimension name="Fact_Ventas" uniqueName="[Fact_Ventas]" caption="Fact_Ventas"/>
    <dimension measure="1" name="Measures" uniqueName="[Measures]" caption="Measures"/>
  </dimensions>
  <measureGroups count="6">
    <measureGroup name="Dim_Clientes_Marketing" caption="Dim_Clientes_Marketing"/>
    <measureGroup name="Dim_Gastos_Operativos" caption="Dim_Gastos_Operativos"/>
    <measureGroup name="Dim_Meses_Puente" caption="Dim_Meses_Puente"/>
    <measureGroup name="Dim_Producto" caption="Dim_Producto"/>
    <measureGroup name="Dim_Tiempo" caption="Dim_Tiempo"/>
    <measureGroup name="Fact_Ventas" caption="Fact_Ventas"/>
  </measureGroups>
  <maps count="12">
    <map measureGroup="0" dimension="0"/>
    <map measureGroup="1" dimension="1"/>
    <map measureGroup="1" dimension="2"/>
    <map measureGroup="2" dimension="2"/>
    <map measureGroup="3" dimension="3"/>
    <map measureGroup="4" dimension="2"/>
    <map measureGroup="4" dimension="4"/>
    <map measureGroup="5" dimension="0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Esteban Rincón Piratoba" refreshedDate="46175.452878356482" backgroundQuery="1" createdVersion="3" refreshedVersion="8" minRefreshableVersion="3" recordCount="0" supportSubquery="1" supportAdvancedDrill="1" xr:uid="{73B957C2-7B07-451F-8215-DBCFE672397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9">
    <cacheHierarchy uniqueName="[Dim_Clientes_Marketing].[ID_Cliente]" caption="ID_Cliente" attribute="1" defaultMemberUniqueName="[Dim_Clientes_Marketing].[ID_Cliente].[All]" allUniqueName="[Dim_Clientes_Marketing].[ID_Cliente].[All]" dimensionUniqueName="[Dim_Clientes_Marketing]" displayFolder="" count="0" memberValueDatatype="130" unbalanced="0"/>
    <cacheHierarchy uniqueName="[Dim_Clientes_Marketing].[Canal_Adquisicion]" caption="Canal_Adquisicion" attribute="1" defaultMemberUniqueName="[Dim_Clientes_Marketing].[Canal_Adquisicion].[All]" allUniqueName="[Dim_Clientes_Marketing].[Canal_Adquisicion].[All]" dimensionUniqueName="[Dim_Clientes_Marketing]" displayFolder="" count="0" memberValueDatatype="130" unbalanced="0"/>
    <cacheHierarchy uniqueName="[Dim_Clientes_Marketing].[Costo_Adquisicion_CAC]" caption="Costo_Adquisicion_CAC" attribute="1" defaultMemberUniqueName="[Dim_Clientes_Marketing].[Costo_Adquisicion_CAC].[All]" allUniqueName="[Dim_Clientes_Marketing].[Costo_Adquisicion_CAC].[All]" dimensionUniqueName="[Dim_Clientes_Marketing]" displayFolder="" count="0" memberValueDatatype="20" unbalanced="0"/>
    <cacheHierarchy uniqueName="[Dim_Clientes_Marketing].[Fecha_Registro]" caption="Fecha_Registro" attribute="1" time="1" defaultMemberUniqueName="[Dim_Clientes_Marketing].[Fecha_Registro].[All]" allUniqueName="[Dim_Clientes_Marketing].[Fecha_Registro].[All]" dimensionUniqueName="[Dim_Clientes_Marketing]" displayFolder="" count="0" memberValueDatatype="7" unbalanced="0"/>
    <cacheHierarchy uniqueName="[Dim_Clientes_Marketing].[ID_Mes]" caption="ID_Mes" attribute="1" defaultMemberUniqueName="[Dim_Clientes_Marketing].[ID_Mes].[All]" allUniqueName="[Dim_Clientes_Marketing].[ID_Mes].[All]" dimensionUniqueName="[Dim_Clientes_Marketing]" displayFolder="" count="0" memberValueDatatype="130" unbalanced="0"/>
    <cacheHierarchy uniqueName="[Dim_Clientes_Marketing].[Trimestre_Registro]" caption="Trimestre_Registro" attribute="1" defaultMemberUniqueName="[Dim_Clientes_Marketing].[Trimestre_Registro].[All]" allUniqueName="[Dim_Clientes_Marketing].[Trimestre_Registro].[All]" dimensionUniqueName="[Dim_Clientes_Marketing]" displayFolder="" count="0" memberValueDatatype="130" unbalanced="0"/>
    <cacheHierarchy uniqueName="[Dim_Gastos_Operativos].[ID_Gasto]" caption="ID_Gasto" attribute="1" defaultMemberUniqueName="[Dim_Gastos_Operativos].[ID_Gasto].[All]" allUniqueName="[Dim_Gastos_Operativos].[ID_Gasto].[All]" dimensionUniqueName="[Dim_Gastos_Operativos]" displayFolder="" count="0" memberValueDatatype="130" unbalanced="0"/>
    <cacheHierarchy uniqueName="[Dim_Gastos_Operativos].[Año]" caption="Año" attribute="1" defaultMemberUniqueName="[Dim_Gastos_Operativos].[Año].[All]" allUniqueName="[Dim_Gastos_Operativos].[Año].[All]" dimensionUniqueName="[Dim_Gastos_Operativos]" displayFolder="" count="0" memberValueDatatype="20" unbalanced="0"/>
    <cacheHierarchy uniqueName="[Dim_Gastos_Operativos].[ID_Mes]" caption="ID_Mes" attribute="1" defaultMemberUniqueName="[Dim_Gastos_Operativos].[ID_Mes].[All]" allUniqueName="[Dim_Gastos_Operativos].[ID_Mes].[All]" dimensionUniqueName="[Dim_Gastos_Operativos]" displayFolder="" count="0" memberValueDatatype="130" unbalanced="0"/>
    <cacheHierarchy uniqueName="[Dim_Gastos_Operativos].[Categoria_Gasto]" caption="Categoria_Gasto" attribute="1" defaultMemberUniqueName="[Dim_Gastos_Operativos].[Categoria_Gasto].[All]" allUniqueName="[Dim_Gastos_Operativos].[Categoria_Gasto].[All]" dimensionUniqueName="[Dim_Gastos_Operativos]" displayFolder="" count="2" memberValueDatatype="130" unbalanced="0"/>
    <cacheHierarchy uniqueName="[Dim_Gastos_Operativos].[Monto_Gasto]" caption="Monto_Gasto" attribute="1" defaultMemberUniqueName="[Dim_Gastos_Operativos].[Monto_Gasto].[All]" allUniqueName="[Dim_Gastos_Operativos].[Monto_Gasto].[All]" dimensionUniqueName="[Dim_Gastos_Operativos]" displayFolder="" count="0" memberValueDatatype="20" unbalanced="0"/>
    <cacheHierarchy uniqueName="[Dim_Gastos_Operativos].[Responsable]" caption="Responsable" attribute="1" defaultMemberUniqueName="[Dim_Gastos_Operativos].[Responsable].[All]" allUniqueName="[Dim_Gastos_Operativos].[Responsable].[All]" dimensionUniqueName="[Dim_Gastos_Operativos]" displayFolder="" count="2" memberValueDatatype="130" unbalanced="0"/>
    <cacheHierarchy uniqueName="[Dim_Gastos_Operativos].[Descripcion]" caption="Descripcion" attribute="1" defaultMemberUniqueName="[Dim_Gastos_Operativos].[Descripcion].[All]" allUniqueName="[Dim_Gastos_Operativos].[Descripcion].[All]" dimensionUniqueName="[Dim_Gastos_Operativos]" displayFolder="" count="2" memberValueDatatype="130" unbalanced="0"/>
    <cacheHierarchy uniqueName="[Dim_Meses_Puente].[ID_Mes]" caption="ID_Mes" attribute="1" defaultMemberUniqueName="[Dim_Meses_Puente].[ID_Mes].[All]" allUniqueName="[Dim_Meses_Puente].[ID_Mes].[All]" dimensionUniqueName="[Dim_Meses_Puente]" displayFolder="" count="0" memberValueDatatype="130" unbalanced="0"/>
    <cacheHierarchy uniqueName="[Dim_Meses_Puente].[Nombre_Mes]" caption="Nombre_Mes" attribute="1" defaultMemberUniqueName="[Dim_Meses_Puente].[Nombre_Mes].[All]" allUniqueName="[Dim_Meses_Puente].[Nombre_Mes].[All]" dimensionUniqueName="[Dim_Meses_Puente]" displayFolder="" count="0" memberValueDatatype="130" unbalanced="0"/>
    <cacheHierarchy uniqueName="[Dim_Meses_Puente].[Año]" caption="Año" attribute="1" defaultMemberUniqueName="[Dim_Meses_Puente].[Año].[All]" allUniqueName="[Dim_Meses_Puente].[Año].[All]" dimensionUniqueName="[Dim_Meses_Puente]" displayFolder="" count="2" memberValueDatatype="20" unbalanced="0"/>
    <cacheHierarchy uniqueName="[Dim_Meses_Puente].[Trimestre]" caption="Trimestre" attribute="1" defaultMemberUniqueName="[Dim_Meses_Puente].[Trimestre].[All]" allUniqueName="[Dim_Meses_Puente].[Trimestre].[All]" dimensionUniqueName="[Dim_Meses_Puente]" displayFolder="" count="2" memberValueDatatype="130" unbalanced="0"/>
    <cacheHierarchy uniqueName="[Dim_Producto].[ID_Producto]" caption="ID_Producto" attribute="1" defaultMemberUniqueName="[Dim_Producto].[ID_Producto].[All]" allUniqueName="[Dim_Producto].[ID_Producto].[All]" dimensionUniqueName="[Dim_Producto]" displayFolder="" count="0" memberValueDatatype="130" unbalanced="0"/>
    <cacheHierarchy uniqueName="[Dim_Producto].[Producto_Categoria]" caption="Producto_Categoria" attribute="1" defaultMemberUniqueName="[Dim_Producto].[Producto_Categoria].[All]" allUniqueName="[Dim_Producto].[Producto_Categoria].[All]" dimensionUniqueName="[Dim_Producto]" displayFolder="" count="2" memberValueDatatype="130" unbalanced="0"/>
    <cacheHierarchy uniqueName="[Dim_Tiempo].[Fecha]" caption="Fecha" attribute="1" time="1" defaultMemberUniqueName="[Dim_Tiempo].[Fecha].[All]" allUniqueName="[Dim_Tiempo].[Fecha].[All]" dimensionUniqueName="[Dim_Tiempo]" displayFolder="" count="0" memberValueDatatype="7" unbalanced="0"/>
    <cacheHierarchy uniqueName="[Dim_Tiempo].[Año]" caption="Año" attribute="1" defaultMemberUniqueName="[Dim_Tiempo].[Año].[All]" allUniqueName="[Dim_Tiempo].[Año].[All]" dimensionUniqueName="[Dim_Tiempo]" displayFolder="" count="0" memberValueDatatype="20" unbalanced="0"/>
    <cacheHierarchy uniqueName="[Dim_Tiempo].[Trimestre]" caption="Trimestre" attribute="1" defaultMemberUniqueName="[Dim_Tiempo].[Trimestre].[All]" allUniqueName="[Dim_Tiempo].[Trimestre].[All]" dimensionUniqueName="[Dim_Tiempo]" displayFolder="" count="0" memberValueDatatype="130" unbalanced="0"/>
    <cacheHierarchy uniqueName="[Dim_Tiempo].[Mes]" caption="Mes" attribute="1" defaultMemberUniqueName="[Dim_Tiempo].[Mes].[All]" allUniqueName="[Dim_Tiempo].[Mes].[All]" dimensionUniqueName="[Dim_Tiempo]" displayFolder="" count="0" memberValueDatatype="130" unbalanced="0"/>
    <cacheHierarchy uniqueName="[Dim_Tiempo].[Día]" caption="Día" attribute="1" defaultMemberUniqueName="[Dim_Tiempo].[Día].[All]" allUniqueName="[Dim_Tiempo].[Día].[All]" dimensionUniqueName="[Dim_Tiempo]" displayFolder="" count="0" memberValueDatatype="20" unbalanced="0"/>
    <cacheHierarchy uniqueName="[Dim_Tiempo].[ID_Mes]" caption="ID_Mes" attribute="1" defaultMemberUniqueName="[Dim_Tiempo].[ID_Mes].[All]" allUniqueName="[Dim_Tiempo].[ID_Mes].[All]" dimensionUniqueName="[Dim_Tiempo]" displayFolder="" count="0" memberValueDatatype="130" unbalanced="0"/>
    <cacheHierarchy uniqueName="[Fact_Ventas].[ID_Venta]" caption="ID_Venta" attribute="1" defaultMemberUniqueName="[Fact_Ventas].[ID_Venta].[All]" allUniqueName="[Fact_Ventas].[ID_Venta].[All]" dimensionUniqueName="[Fact_Ventas]" displayFolder="" count="0" memberValueDatatype="130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0" memberValueDatatype="13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0" memberValueDatatype="130" unbalanced="0"/>
    <cacheHierarchy uniqueName="[Fact_Ventas].[Fecha]" caption="Fecha" attribute="1" time="1" defaultMemberUniqueName="[Fact_Ventas].[Fecha].[All]" allUniqueName="[Fact_Ventas].[Fecha].[All]" dimensionUniqueName="[Fact_Ventas]" displayFolder="" count="0" memberValueDatatype="7" unbalanced="0"/>
    <cacheHierarchy uniqueName="[Fact_Ventas].[Ingreso_Venta]" caption="Ingreso_Venta" attribute="1" defaultMemberUniqueName="[Fact_Ventas].[Ingreso_Venta].[All]" allUniqueName="[Fact_Ventas].[Ingreso_Venta].[All]" dimensionUniqueName="[Fact_Ventas]" displayFolder="" count="2" memberValueDatatype="20" unbalanced="0"/>
    <cacheHierarchy uniqueName="[Fact_Ventas].[Costo_Directo_Producto]" caption="Costo_Directo_Producto" attribute="1" defaultMemberUniqueName="[Fact_Ventas].[Costo_Directo_Producto].[All]" allUniqueName="[Fact_Ventas].[Costo_Directo_Producto].[All]" dimensionUniqueName="[Fact_Ventas]" displayFolder="" count="0" memberValueDatatype="20" unbalanced="0"/>
    <cacheHierarchy uniqueName="[Measures].[Total_Ingresos]" caption="Total_Ingresos" measure="1" displayFolder="" measureGroup="Fact_Ventas" count="0"/>
    <cacheHierarchy uniqueName="[Measures].[Total_Costo_Directo]" caption="Total_Costo_Directo" measure="1" displayFolder="" measureGroup="Fact_Ventas" count="0"/>
    <cacheHierarchy uniqueName="[Measures].[Margen_Bruto]" caption="Margen_Bruto" measure="1" displayFolder="" measureGroup="Fact_Ventas" count="0"/>
    <cacheHierarchy uniqueName="[Measures].[Porcentaje_Margen_Bruto]" caption="Porcentaje_Margen_Bruto" measure="1" displayFolder="" measureGroup="Fact_Ventas" count="0"/>
    <cacheHierarchy uniqueName="[Measures].[Total_Gastos_Ops]" caption="Total_Gastos_Ops" measure="1" displayFolder="" measureGroup="Dim_Gastos_Operativos" count="0"/>
    <cacheHierarchy uniqueName="[Measures].[EBITDA]" caption="EBITDA" measure="1" displayFolder="" measureGroup="Dim_Gastos_Operativos" count="0"/>
    <cacheHierarchy uniqueName="[Measures].[Margen_Neto]" caption="Margen_Neto" measure="1" displayFolder="" measureGroup="Dim_Gastos_Operativos" count="0"/>
    <cacheHierarchy uniqueName="[Measures].[Total_CAC]" caption="Total_CAC" measure="1" displayFolder="" measureGroup="Dim_Clientes_Marketing" count="0"/>
    <cacheHierarchy uniqueName="[Measures].[LTV]" caption="LTV" measure="1" displayFolder="" measureGroup="Dim_Clientes_Marketing" count="0"/>
    <cacheHierarchy uniqueName="[Measures].[Relacion_LTV_CAC]" caption="Relacion_LTV_CAC" measure="1" displayFolder="" measureGroup="Dim_Clientes_Marketing" count="0"/>
    <cacheHierarchy uniqueName="[Measures].[ROI]" caption="ROI" measure="1" displayFolder="" measureGroup="Dim_Clientes_Marketing" count="0"/>
    <cacheHierarchy uniqueName="[Measures].[__XL_Count Fact_Ventas]" caption="__XL_Count Fact_Ventas" measure="1" displayFolder="" measureGroup="Fact_Ventas" count="0" hidden="1"/>
    <cacheHierarchy uniqueName="[Measures].[__XL_Count Dim_Clientes_Marketing]" caption="__XL_Count Dim_Clientes_Marketing" measure="1" displayFolder="" measureGroup="Dim_Clientes_Marketing" count="0" hidden="1"/>
    <cacheHierarchy uniqueName="[Measures].[__XL_Count Dim_Gastos_Operativos]" caption="__XL_Count Dim_Gastos_Operativos" measure="1" displayFolder="" measureGroup="Dim_Gastos_Operativos" count="0" hidden="1"/>
    <cacheHierarchy uniqueName="[Measures].[__XL_Count Dim_Tiempo]" caption="__XL_Count Dim_Tiempo" measure="1" displayFolder="" measureGroup="Dim_Tiempo" count="0" hidden="1"/>
    <cacheHierarchy uniqueName="[Measures].[__XL_Count Tabla10]" caption="__XL_Count Tabla10" measure="1" displayFolder="" measureGroup="Dim_Producto" count="0" hidden="1"/>
    <cacheHierarchy uniqueName="[Measures].[__XL_Count Dim_Meses_Puente]" caption="__XL_Count Dim_Meses_Puente" measure="1" displayFolder="" measureGroup="Dim_Meses_Puente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70769034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347E2-2A4B-48E1-96DD-43D793E4F124}" name="TD_Marketing" cacheId="0" applyNumberFormats="0" applyBorderFormats="0" applyFontFormats="0" applyPatternFormats="0" applyAlignmentFormats="0" applyWidthHeightFormats="1" dataCaption="Valores" tag="b35cc51a-f3c8-4214-a11e-c8a3224117a9" updatedVersion="8" minRefreshableVersion="3" useAutoFormatting="1" itemPrintTitles="1" createdVersion="8" indent="0" outline="1" outlineData="1" multipleFieldFilters="0" chartFormat="41">
  <location ref="A34:E39" firstHeaderRow="0" firstDataRow="1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 numFmtId="42"/>
    <dataField fld="2" subtotal="count" baseField="0" baseItem="0" numFmtId="42"/>
    <dataField name="LTV:CAC" fld="3" subtotal="count" baseField="0" baseItem="0" numFmtId="165"/>
    <dataField fld="4" subtotal="count" baseField="0" baseItem="0"/>
  </dataFields>
  <formats count="8"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3">
      <pivotArea outline="0" fieldPosition="0">
        <references count="1">
          <reference field="4294967294" count="1">
            <x v="0"/>
          </reference>
        </references>
      </pivotArea>
    </format>
    <format dxfId="32">
      <pivotArea outline="0" fieldPosition="0">
        <references count="1">
          <reference field="4294967294" count="1">
            <x v="1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3"/>
          </reference>
          <reference field="0" count="0"/>
        </references>
      </pivotArea>
    </format>
    <format dxfId="30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chartFormats count="4">
    <chartFormat chart="3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LTV:CAC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im_Clientes_Marketing]"/>
        <x15:activeTabTopLevelEntity name="[Dim_Gastos_Operativos]"/>
        <x15:activeTabTopLevelEntity name="[Dim_Meses_Pu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56513-0C66-4602-8376-901E9B0D1039}" name="TD_Gastos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I11:J18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2"/>
    </i>
    <i>
      <x v="3"/>
    </i>
    <i>
      <x v="1"/>
    </i>
    <i>
      <x v="4"/>
    </i>
    <i>
      <x/>
    </i>
    <i>
      <x v="5"/>
    </i>
    <i t="grand">
      <x/>
    </i>
  </rowItems>
  <colItems count="1">
    <i/>
  </colItems>
  <dataFields count="1">
    <dataField fld="1" subtotal="count" baseField="0" baseItem="0" numFmtId="168"/>
  </dataFields>
  <formats count="1">
    <format dxfId="38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Gastos_Operativos]"/>
        <x15:activeTabTopLevelEntity name="[Dim_Meses_Pu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F8ECE-7021-4568-8F25-CFCE0033A60D}" name="Productos" cacheId="2" applyNumberFormats="0" applyBorderFormats="0" applyFontFormats="0" applyPatternFormats="0" applyAlignmentFormats="0" applyWidthHeightFormats="1" dataCaption="Valores" tag="cafdbcd5-5c26-4e48-af0a-d52ffc1ad57c" updatedVersion="8" minRefreshableVersion="3" useAutoFormatting="1" subtotalHiddenItems="1" itemPrintTitles="1" createdVersion="8" indent="0" outline="1" outlineData="1" multipleFieldFilters="0" chartFormat="24">
  <location ref="A22:B27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chartFormats count="5"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]"/>
        <x15:activeTabTopLevelEntity name="[Fact_Ventas]"/>
        <x15:activeTabTopLevelEntity name="[Dim_Meses_Pu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492D9-0EB1-4564-BFD6-88F076941C6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I2:L7" firstHeaderRow="0" firstDataRow="1" firstDataCol="1"/>
  <pivotFields count="5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 numFmtId="44"/>
    <dataField fld="1" subtotal="count" baseField="0" baseItem="0" numFmtId="44"/>
    <dataField fld="3" subtotal="count" baseField="0" baseItem="0"/>
  </dataFields>
  <formats count="4"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</chart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Tiempo]"/>
        <x15:activeTabTopLevelEntity name="[Fact_Ventas]"/>
        <x15:activeTabTopLevelEntity name="[Dim_Gastos_Operativos]"/>
        <x15:activeTabTopLevelEntity name="[Dim_Meses_Pu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37453-C0D7-466A-A0EE-66021B08AF60}" name="dinamica2" cacheId="1" applyNumberFormats="0" applyBorderFormats="0" applyFontFormats="0" applyPatternFormats="0" applyAlignmentFormats="0" applyWidthHeightFormats="1" dataCaption="Valores" tag="1f38abe8-cf9b-4780-8d69-b9ce74acf90e" updatedVersion="8" minRefreshableVersion="3" useAutoFormatting="1" itemPrintTitles="1" createdVersion="8" indent="0" outline="1" outlineData="1" multipleFieldFilters="0">
  <location ref="A2:F15" firstHeaderRow="0" firstDataRow="1" firstDataCol="1"/>
  <pivotFields count="7">
    <pivotField axis="axisRow" allDrilled="1" subtotalTop="0" showAll="0" sortType="ascending" defaultSubtotal="0" defaultAttributeDrillState="1">
      <items count="12">
        <item x="3"/>
        <item x="4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 numFmtId="167"/>
    <dataField fld="2" subtotal="count" baseField="0" baseItem="0" numFmtId="1"/>
    <dataField fld="3" subtotal="count" baseField="0" baseItem="0" numFmtId="42"/>
    <dataField fld="4" subtotal="count" baseField="0" baseItem="0" numFmtId="167"/>
    <dataField fld="5" subtotal="count" baseField="0" baseItem="0" numFmtId="10"/>
  </dataFields>
  <formats count="13"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">
      <pivotArea dataOnly="0" outline="0" fieldPosition="0">
        <references count="1">
          <reference field="4294967294" count="1">
            <x v="1"/>
          </reference>
        </references>
      </pivotArea>
    </format>
    <format dxfId="5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">
      <pivotArea outline="0" fieldPosition="0">
        <references count="1">
          <reference field="4294967294" count="1">
            <x v="0"/>
          </reference>
        </references>
      </pivotArea>
    </format>
    <format dxfId="45">
      <pivotArea outline="0" fieldPosition="0">
        <references count="1">
          <reference field="4294967294" count="1">
            <x v="1"/>
          </reference>
        </references>
      </pivotArea>
    </format>
    <format dxfId="44">
      <pivotArea outline="0" fieldPosition="0">
        <references count="1">
          <reference field="4294967294" count="1">
            <x v="2"/>
          </reference>
        </references>
      </pivotArea>
    </format>
    <format dxfId="43">
      <pivotArea outline="0" fieldPosition="0">
        <references count="1">
          <reference field="4294967294" count="1">
            <x v="3"/>
          </reference>
        </references>
      </pivotArea>
    </format>
  </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eses_Puente]"/>
        <x15:activeTabTopLevelEntity name="[Fact_Ventas]"/>
        <x15:activeTabTopLevelEntity name="[Dim_Gastos_Operativ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imestre" xr10:uid="{9F9C9070-FAD9-4B4B-A6B8-E6ABFDC45592}" sourceName="[Dim_Meses_Puente].[Trimestre]">
  <pivotTables>
    <pivotTable tabId="12" name="TablaDinámica1"/>
    <pivotTable tabId="12" name="TD_Marketing"/>
    <pivotTable tabId="12" name="dinamica2"/>
    <pivotTable tabId="12" name="Productos"/>
    <pivotTable tabId="12" name="TD_Gastos"/>
  </pivotTables>
  <data>
    <olap pivotCacheId="707690344">
      <levels count="2">
        <level uniqueName="[Dim_Meses_Puente].[Trimestre].[(All)]" sourceCaption="(All)" count="0"/>
        <level uniqueName="[Dim_Meses_Puente].[Trimestre].[Trimestre]" sourceCaption="Trimestre" count="4">
          <ranges>
            <range startItem="0">
              <i n="[Dim_Meses_Puente].[Trimestre].&amp;[2025-T1]" c="2025-T1"/>
              <i n="[Dim_Meses_Puente].[Trimestre].&amp;[2025-T2]" c="2025-T2"/>
              <i n="[Dim_Meses_Puente].[Trimestre].&amp;[2025-T3]" c="2025-T3"/>
              <i n="[Dim_Meses_Puente].[Trimestre].&amp;[2025-T4]" c="2025-T4"/>
            </range>
          </ranges>
        </level>
      </levels>
      <selections count="1">
        <selection n="[Dim_Meses_Puente].[Trimestr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9EC9F063-F273-43F7-9357-79E5DAE030BD}" sourceName="[Dim_Meses_Puente].[Año]">
  <pivotTables>
    <pivotTable tabId="12" name="TablaDinámica1"/>
    <pivotTable tabId="12" name="TD_Marketing"/>
    <pivotTable tabId="12" name="Productos"/>
    <pivotTable tabId="12" name="TD_Gastos"/>
  </pivotTables>
  <data>
    <olap pivotCacheId="707690344">
      <levels count="2">
        <level uniqueName="[Dim_Meses_Puente].[Año].[(All)]" sourceCaption="(All)" count="0"/>
        <level uniqueName="[Dim_Meses_Puente].[Año].[Año]" sourceCaption="Año" count="1">
          <ranges>
            <range startItem="0">
              <i n="[Dim_Meses_Puente].[Año].&amp;[2025]" c="2025"/>
            </range>
          </ranges>
        </level>
      </levels>
      <selections count="1">
        <selection n="[Dim_Meses_Puente].[Añ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FDA2358A-1B65-44A0-BB19-7CDA78F3FCDB}" sourceName="[Dim_Gastos_Operativos].[Responsable]">
  <pivotTables>
    <pivotTable tabId="12" name="TD_Gastos"/>
    <pivotTable tabId="12" name="TablaDinámica1"/>
  </pivotTables>
  <data>
    <olap pivotCacheId="707690344">
      <levels count="2">
        <level uniqueName="[Dim_Gastos_Operativos].[Responsable].[(All)]" sourceCaption="(All)" count="0"/>
        <level uniqueName="[Dim_Gastos_Operativos].[Responsable].[Responsable]" sourceCaption="Responsable" count="6" sortOrder="ascending">
          <ranges>
            <range startItem="0">
              <i n="[Dim_Gastos_Operativos].[Responsable].&amp;[Finanzas]" c="Finanzas"/>
              <i n="[Dim_Gastos_Operativos].[Responsable].&amp;[Marketing]" c="Marketing"/>
              <i n="[Dim_Gastos_Operativos].[Responsable].&amp;[Operaciones]" c="Operaciones"/>
              <i n="[Dim_Gastos_Operativos].[Responsable].&amp;[Recursos Humanos]" c="Recursos Humanos"/>
              <i n="[Dim_Gastos_Operativos].[Responsable].&amp;[Tecnología]" c="Tecnología"/>
              <i n="[Dim_Gastos_Operativos].[Responsable].&amp;[Ventas]" c="Ventas"/>
            </range>
          </ranges>
        </level>
      </levels>
      <selections count="1">
        <selection n="[Dim_Gastos_Operativos].[Responsabl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imestre" xr10:uid="{F1959F8D-8673-4C68-B859-8CF6AD4A7AD9}" cache="SegmentaciónDeDatos_Trimestre" caption="Trimestre" level="1" style="SlicerStyleDark1" rowHeight="234950"/>
  <slicer name="Año" xr10:uid="{694FCD8C-987C-4AB8-8F37-7C4E5F4E64E3}" cache="SegmentaciónDeDatos_Año" caption="Año" level="1" style="SlicerStyleDark1" rowHeight="234950"/>
  <slicer name="Responsable" xr10:uid="{4EEF9753-CAD9-4470-A254-669162266CDD}" cache="SegmentaciónDeDatos_Responsable" caption="Responsable" level="1" style="SlicerStyleDark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AD340A-786D-4E06-95EF-47C02D87F8F9}" name="Fact_Ventas" displayName="Fact_Ventas" ref="A1:F101" totalsRowShown="0">
  <autoFilter ref="A1:F101" xr:uid="{27AD340A-786D-4E06-95EF-47C02D87F8F9}"/>
  <tableColumns count="6">
    <tableColumn id="1" xr3:uid="{B6BD35FE-322A-4AA2-8017-B5C6B5878DF8}" name="ID_Venta"/>
    <tableColumn id="2" xr3:uid="{E207FEB7-E216-4D67-AC1B-06C7391D8114}" name="ID_Cliente"/>
    <tableColumn id="3" xr3:uid="{8D650E88-5B3C-4F25-AF5C-1F88CBF05D2F}" name="ID_Producto"/>
    <tableColumn id="4" xr3:uid="{72478A25-6945-4427-9109-425694B69172}" name="Fecha" dataDxfId="29"/>
    <tableColumn id="5" xr3:uid="{77E0DB8E-3250-4DEC-B9D1-3AAAA96002B6}" name="Ingreso_Venta" dataDxfId="28"/>
    <tableColumn id="6" xr3:uid="{E2493021-583B-43EF-A4AC-6DAE92E0C70C}" name="Costo_Directo_Producto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1642DF-E57B-4655-8681-F153FF604DE7}" name="Dim_Clientes_Marketing" displayName="Dim_Clientes_Marketing" ref="A1:F101" totalsRowShown="0" headerRowDxfId="26" dataDxfId="24" headerRowBorderDxfId="25" tableBorderDxfId="23" totalsRowBorderDxfId="22">
  <autoFilter ref="A1:F101" xr:uid="{8D1642DF-E57B-4655-8681-F153FF604DE7}"/>
  <tableColumns count="6">
    <tableColumn id="1" xr3:uid="{C2BADC30-E17D-4870-8F72-4C685E809AB7}" name="ID_Cliente" dataDxfId="21"/>
    <tableColumn id="2" xr3:uid="{2E2984DD-9C3D-4873-BD19-BA6EB9513997}" name="Canal_Adquisicion" dataDxfId="20"/>
    <tableColumn id="3" xr3:uid="{32164B60-E2E6-418B-8FEA-3A98EFBEA377}" name="Costo_Adquisicion_CAC" dataDxfId="19"/>
    <tableColumn id="4" xr3:uid="{4ACF0922-9451-46E4-B1AF-A2563D49ECC0}" name="Fecha_Registro" dataDxfId="18"/>
    <tableColumn id="5" xr3:uid="{54E12425-B944-4088-80B1-461730C74378}" name="ID_Mes" dataDxfId="17"/>
    <tableColumn id="6" xr3:uid="{0B14B1E4-9852-450B-9A60-0AE492C4BC87}" name="Trimestre_Registro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64F09D-942B-4CE7-B48E-314C4A30E309}" name="Dim_Gastos_Operativos" displayName="Dim_Gastos_Operativos" ref="A1:G101" totalsRowShown="0">
  <autoFilter ref="A1:G101" xr:uid="{C464F09D-942B-4CE7-B48E-314C4A30E309}"/>
  <tableColumns count="7">
    <tableColumn id="1" xr3:uid="{97375EA2-1BAC-4EF5-9060-086354B6D398}" name="ID_Gasto"/>
    <tableColumn id="2" xr3:uid="{A051433D-ECF4-49E1-B08C-9B10A26B4915}" name="Año"/>
    <tableColumn id="3" xr3:uid="{7E28D4AA-9C42-4CC7-964E-44A7B8FC5F7D}" name="ID_Mes"/>
    <tableColumn id="4" xr3:uid="{7A9D166D-70BE-49F6-9DEA-2A887A80035E}" name="Categoria_Gasto"/>
    <tableColumn id="5" xr3:uid="{5F6CE3D9-4749-49BD-A365-9F6337593554}" name="Monto_Gasto" dataDxfId="15"/>
    <tableColumn id="6" xr3:uid="{6555BC38-D857-4F16-A1AF-9E0027A866F9}" name="Responsable"/>
    <tableColumn id="7" xr3:uid="{319897BA-B50C-4728-8912-1EC7489C6F32}" name="Descrip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5864E-E5D7-4263-AC83-AD7F372CB8E0}" name="Dim_Tiempo" displayName="Dim_Tiempo" ref="A1:F366" totalsRowShown="0">
  <autoFilter ref="A1:F366" xr:uid="{5E35864E-E5D7-4263-AC83-AD7F372CB8E0}"/>
  <tableColumns count="6">
    <tableColumn id="1" xr3:uid="{5CC43D9B-DD16-419A-B91F-A2C14F5C1053}" name="Fecha" dataDxfId="14"/>
    <tableColumn id="2" xr3:uid="{EDE13F97-2C7B-4B5D-93A1-244465AE1CBB}" name="Año"/>
    <tableColumn id="3" xr3:uid="{135E267B-5AC6-46B7-A526-E1A15BC5E936}" name="Trimestre"/>
    <tableColumn id="4" xr3:uid="{2A67FAE4-6D13-46D0-B61F-2A6A9EB58769}" name="Mes"/>
    <tableColumn id="5" xr3:uid="{E4C9CF7A-0F28-4D08-AA51-DF55D75053BB}" name="Día"/>
    <tableColumn id="6" xr3:uid="{BBD19C13-39B7-43A5-837F-D51309E64F73}" name="ID_M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E02CBD-B9A1-4F30-A844-EB37DBC9C758}" name="Dim_Producto" displayName="Dim_Producto" ref="A1:B101" totalsRowShown="0" headerRowDxfId="13" headerRowBorderDxfId="12" tableBorderDxfId="11" totalsRowBorderDxfId="10">
  <autoFilter ref="A1:B101" xr:uid="{E0E02CBD-B9A1-4F30-A844-EB37DBC9C758}"/>
  <tableColumns count="2">
    <tableColumn id="1" xr3:uid="{7BA4EA12-53E5-4B85-B5F7-4F8B1CF7A43F}" name="ID_Producto" dataDxfId="9"/>
    <tableColumn id="2" xr3:uid="{739CAF84-5FB3-49A8-832C-CB72DFC57CF2}" name="Producto_Categoria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7C2842-AD9B-464B-8E8F-AA7279EF254E}" name="Dim_Meses_Puente" displayName="Dim_Meses_Puente" ref="A1:D13" totalsRowShown="0" headerRowDxfId="7" headerRowBorderDxfId="6" tableBorderDxfId="5" totalsRowBorderDxfId="4">
  <autoFilter ref="A1:D13" xr:uid="{D67C2842-AD9B-464B-8E8F-AA7279EF254E}"/>
  <tableColumns count="4">
    <tableColumn id="1" xr3:uid="{2D908611-BEF8-45A7-BE59-144AE59670C6}" name="ID_Mes" dataDxfId="3"/>
    <tableColumn id="2" xr3:uid="{47727CAE-B9E4-4C27-864B-7133370CFC91}" name="Nombre_Mes" dataDxfId="2"/>
    <tableColumn id="3" xr3:uid="{779BE927-E50D-40A9-ABC9-476539A9255A}" name="Año" dataDxfId="1"/>
    <tableColumn id="4" xr3:uid="{BF0F9F61-1CB9-4ADA-B32B-238F097DAAE6}" name="Trimest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12EA-DB49-4C82-9EBD-0F86E75EAA0E}">
  <dimension ref="A1"/>
  <sheetViews>
    <sheetView showGridLines="0" tabSelected="1" zoomScale="98" zoomScaleNormal="98" workbookViewId="0">
      <selection activeCell="U36" sqref="U36"/>
    </sheetView>
  </sheetViews>
  <sheetFormatPr baseColWidth="10" defaultRowHeight="14.4" x14ac:dyDescent="0.3"/>
  <cols>
    <col min="1" max="16384" width="11.5546875" style="2"/>
  </cols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1C6A-E134-4C34-B435-D06FF90B4993}">
  <dimension ref="A2:L41"/>
  <sheetViews>
    <sheetView workbookViewId="0">
      <selection activeCell="B26" sqref="B26"/>
    </sheetView>
  </sheetViews>
  <sheetFormatPr baseColWidth="10" defaultRowHeight="14.4" x14ac:dyDescent="0.3"/>
  <cols>
    <col min="1" max="1" width="16.5546875" bestFit="1" customWidth="1"/>
    <col min="2" max="2" width="23.5546875" bestFit="1" customWidth="1"/>
    <col min="3" max="3" width="18.109375" bestFit="1" customWidth="1"/>
    <col min="4" max="4" width="14.5546875" bestFit="1" customWidth="1"/>
    <col min="5" max="5" width="7.109375" bestFit="1" customWidth="1"/>
    <col min="6" max="7" width="12.6640625" bestFit="1" customWidth="1"/>
    <col min="9" max="9" width="16.5546875" bestFit="1" customWidth="1"/>
    <col min="10" max="10" width="14.5546875" bestFit="1" customWidth="1"/>
    <col min="11" max="11" width="10.88671875" bestFit="1" customWidth="1"/>
    <col min="12" max="12" width="23.5546875" bestFit="1" customWidth="1"/>
  </cols>
  <sheetData>
    <row r="2" spans="1:12" x14ac:dyDescent="0.3">
      <c r="A2" s="16" t="s">
        <v>435</v>
      </c>
      <c r="B2" s="19" t="s">
        <v>437</v>
      </c>
      <c r="C2" s="19" t="s">
        <v>438</v>
      </c>
      <c r="D2" s="25" t="s">
        <v>439</v>
      </c>
      <c r="E2" s="19" t="s">
        <v>440</v>
      </c>
      <c r="F2" s="24" t="s">
        <v>441</v>
      </c>
      <c r="I2" s="16" t="s">
        <v>435</v>
      </c>
      <c r="J2" s="25" t="s">
        <v>437</v>
      </c>
      <c r="K2" s="25" t="s">
        <v>440</v>
      </c>
      <c r="L2" t="s">
        <v>442</v>
      </c>
    </row>
    <row r="3" spans="1:12" x14ac:dyDescent="0.3">
      <c r="A3" s="17" t="s">
        <v>422</v>
      </c>
      <c r="B3" s="30">
        <v>3015</v>
      </c>
      <c r="C3" s="31">
        <v>1199</v>
      </c>
      <c r="D3" s="28">
        <v>1816</v>
      </c>
      <c r="E3" s="30">
        <v>-11</v>
      </c>
      <c r="F3" s="24">
        <v>-3.6484245439469321E-3</v>
      </c>
      <c r="I3" s="17" t="s">
        <v>168</v>
      </c>
      <c r="J3" s="25">
        <v>9155</v>
      </c>
      <c r="K3" s="25">
        <v>229</v>
      </c>
      <c r="L3" s="18">
        <v>0.59836155106499178</v>
      </c>
    </row>
    <row r="4" spans="1:12" x14ac:dyDescent="0.3">
      <c r="A4" s="17" t="s">
        <v>423</v>
      </c>
      <c r="B4" s="30">
        <v>3190</v>
      </c>
      <c r="C4" s="31">
        <v>1294</v>
      </c>
      <c r="D4" s="28">
        <v>1896</v>
      </c>
      <c r="E4" s="30">
        <v>185</v>
      </c>
      <c r="F4" s="24">
        <v>5.7993730407523508E-2</v>
      </c>
      <c r="I4" s="17" t="s">
        <v>182</v>
      </c>
      <c r="J4" s="25">
        <v>8050</v>
      </c>
      <c r="K4" s="25">
        <v>1157</v>
      </c>
      <c r="L4" s="18">
        <v>0.60099378881987575</v>
      </c>
    </row>
    <row r="5" spans="1:12" x14ac:dyDescent="0.3">
      <c r="A5" s="17" t="s">
        <v>424</v>
      </c>
      <c r="B5" s="30">
        <v>2950</v>
      </c>
      <c r="C5" s="31">
        <v>1184</v>
      </c>
      <c r="D5" s="28">
        <v>1766</v>
      </c>
      <c r="E5" s="30">
        <v>55</v>
      </c>
      <c r="F5" s="24">
        <v>1.864406779661017E-2</v>
      </c>
      <c r="I5" s="17" t="s">
        <v>197</v>
      </c>
      <c r="J5" s="25">
        <v>4880</v>
      </c>
      <c r="K5" s="25">
        <v>897</v>
      </c>
      <c r="L5" s="18">
        <v>0.6</v>
      </c>
    </row>
    <row r="6" spans="1:12" x14ac:dyDescent="0.3">
      <c r="A6" s="17" t="s">
        <v>425</v>
      </c>
      <c r="B6" s="30">
        <v>3130</v>
      </c>
      <c r="C6" s="31">
        <v>1241</v>
      </c>
      <c r="D6" s="28">
        <v>1889</v>
      </c>
      <c r="E6" s="30">
        <v>662</v>
      </c>
      <c r="F6" s="24">
        <v>0.21150159744408945</v>
      </c>
      <c r="I6" s="17" t="s">
        <v>209</v>
      </c>
      <c r="J6" s="25">
        <v>4010</v>
      </c>
      <c r="K6" s="25">
        <v>250</v>
      </c>
      <c r="L6" s="18">
        <v>0.60024937655860344</v>
      </c>
    </row>
    <row r="7" spans="1:12" x14ac:dyDescent="0.3">
      <c r="A7" s="17" t="s">
        <v>427</v>
      </c>
      <c r="B7" s="30">
        <v>3300</v>
      </c>
      <c r="C7" s="31">
        <v>1320</v>
      </c>
      <c r="D7" s="28">
        <v>1980</v>
      </c>
      <c r="E7" s="30">
        <v>753</v>
      </c>
      <c r="F7" s="24">
        <v>0.22818181818181818</v>
      </c>
      <c r="I7" s="17" t="s">
        <v>436</v>
      </c>
      <c r="J7" s="25">
        <v>26095</v>
      </c>
      <c r="K7" s="25">
        <v>2533</v>
      </c>
      <c r="L7" s="18">
        <v>0.59977007089480738</v>
      </c>
    </row>
    <row r="8" spans="1:12" x14ac:dyDescent="0.3">
      <c r="A8" s="17" t="s">
        <v>428</v>
      </c>
      <c r="B8" s="30">
        <v>1620</v>
      </c>
      <c r="C8" s="31">
        <v>651</v>
      </c>
      <c r="D8" s="28">
        <v>969</v>
      </c>
      <c r="E8" s="30">
        <v>-258</v>
      </c>
      <c r="F8" s="24">
        <v>-0.15925925925925927</v>
      </c>
    </row>
    <row r="9" spans="1:12" x14ac:dyDescent="0.3">
      <c r="A9" s="17" t="s">
        <v>429</v>
      </c>
      <c r="B9" s="30">
        <v>1565</v>
      </c>
      <c r="C9" s="31">
        <v>627</v>
      </c>
      <c r="D9" s="28">
        <v>938</v>
      </c>
      <c r="E9" s="30">
        <v>261</v>
      </c>
      <c r="F9" s="24">
        <v>0.16677316293929711</v>
      </c>
    </row>
    <row r="10" spans="1:12" x14ac:dyDescent="0.3">
      <c r="A10" s="17" t="s">
        <v>430</v>
      </c>
      <c r="B10" s="30">
        <v>1720</v>
      </c>
      <c r="C10" s="31">
        <v>696</v>
      </c>
      <c r="D10" s="28">
        <v>1024</v>
      </c>
      <c r="E10" s="30">
        <v>347</v>
      </c>
      <c r="F10" s="24">
        <v>0.20174418604651162</v>
      </c>
    </row>
    <row r="11" spans="1:12" x14ac:dyDescent="0.3">
      <c r="A11" s="17" t="s">
        <v>431</v>
      </c>
      <c r="B11" s="30">
        <v>1595</v>
      </c>
      <c r="C11" s="31">
        <v>629</v>
      </c>
      <c r="D11" s="28">
        <v>966</v>
      </c>
      <c r="E11" s="30">
        <v>289</v>
      </c>
      <c r="F11" s="24">
        <v>0.18119122257053291</v>
      </c>
      <c r="I11" s="16" t="s">
        <v>435</v>
      </c>
      <c r="J11" t="s">
        <v>449</v>
      </c>
    </row>
    <row r="12" spans="1:12" x14ac:dyDescent="0.3">
      <c r="A12" s="17" t="s">
        <v>432</v>
      </c>
      <c r="B12" s="30">
        <v>365</v>
      </c>
      <c r="C12" s="31">
        <v>160</v>
      </c>
      <c r="D12" s="28">
        <v>205</v>
      </c>
      <c r="E12" s="30">
        <v>-514</v>
      </c>
      <c r="F12" s="24">
        <v>-1.4082191780821918</v>
      </c>
      <c r="I12" s="17" t="s">
        <v>236</v>
      </c>
      <c r="J12" s="34">
        <v>6906</v>
      </c>
    </row>
    <row r="13" spans="1:12" x14ac:dyDescent="0.3">
      <c r="A13" s="17" t="s">
        <v>433</v>
      </c>
      <c r="B13" s="30">
        <v>1580</v>
      </c>
      <c r="C13" s="31">
        <v>633</v>
      </c>
      <c r="D13" s="28">
        <v>947</v>
      </c>
      <c r="E13" s="30">
        <v>228</v>
      </c>
      <c r="F13" s="24">
        <v>0.14430379746835442</v>
      </c>
      <c r="I13" s="17" t="s">
        <v>229</v>
      </c>
      <c r="J13" s="34">
        <v>2874</v>
      </c>
    </row>
    <row r="14" spans="1:12" x14ac:dyDescent="0.3">
      <c r="A14" s="17" t="s">
        <v>434</v>
      </c>
      <c r="B14" s="30">
        <v>2065</v>
      </c>
      <c r="C14" s="31">
        <v>810</v>
      </c>
      <c r="D14" s="28">
        <v>1255</v>
      </c>
      <c r="E14" s="30">
        <v>536</v>
      </c>
      <c r="F14" s="24">
        <v>0.25956416464891041</v>
      </c>
      <c r="I14" s="17" t="s">
        <v>267</v>
      </c>
      <c r="J14" s="34">
        <v>1755</v>
      </c>
    </row>
    <row r="15" spans="1:12" ht="15" customHeight="1" x14ac:dyDescent="0.3">
      <c r="A15" s="17" t="s">
        <v>436</v>
      </c>
      <c r="B15" s="30">
        <v>26095</v>
      </c>
      <c r="C15" s="31">
        <v>10444</v>
      </c>
      <c r="D15" s="28">
        <v>15651</v>
      </c>
      <c r="E15" s="30">
        <v>2533</v>
      </c>
      <c r="F15" s="24">
        <v>9.7068403908794787E-2</v>
      </c>
      <c r="I15" s="17" t="s">
        <v>8</v>
      </c>
      <c r="J15" s="34">
        <v>611</v>
      </c>
    </row>
    <row r="16" spans="1:12" ht="15" customHeight="1" x14ac:dyDescent="0.3">
      <c r="A16" s="17"/>
      <c r="B16" s="19"/>
      <c r="C16" s="19"/>
      <c r="D16" s="25"/>
      <c r="E16" s="19"/>
      <c r="F16" s="24"/>
      <c r="I16" s="17" t="s">
        <v>240</v>
      </c>
      <c r="J16" s="34">
        <v>573</v>
      </c>
    </row>
    <row r="17" spans="1:10" ht="15" customHeight="1" x14ac:dyDescent="0.3">
      <c r="A17" s="17"/>
      <c r="B17" s="32">
        <f>GETPIVOTDATA("[Measures].[Total_Ingresos]",$A$2)</f>
        <v>26095</v>
      </c>
      <c r="C17" s="32">
        <f>GETPIVOTDATA("[Measures].[Total_Costo_Directo]",$A$2)</f>
        <v>10444</v>
      </c>
      <c r="D17" s="33">
        <f>GETPIVOTDATA("[Measures].[Margen_Bruto]",$A$2)</f>
        <v>15651</v>
      </c>
      <c r="E17" s="32">
        <f>GETPIVOTDATA("[Measures].[EBITDA]",$A$2)</f>
        <v>2533</v>
      </c>
      <c r="F17" s="27">
        <f>GETPIVOTDATA("[Measures].[Margen_Neto]",$A$2)</f>
        <v>9.7068403908794787E-2</v>
      </c>
      <c r="I17" s="17" t="s">
        <v>260</v>
      </c>
      <c r="J17" s="34">
        <v>399</v>
      </c>
    </row>
    <row r="18" spans="1:10" ht="15" customHeight="1" x14ac:dyDescent="0.3">
      <c r="A18" s="17"/>
      <c r="B18" s="19"/>
      <c r="C18" s="19"/>
      <c r="D18" s="25"/>
      <c r="E18" s="19"/>
      <c r="F18" s="24"/>
      <c r="I18" s="17" t="s">
        <v>436</v>
      </c>
      <c r="J18" s="34">
        <v>13118</v>
      </c>
    </row>
    <row r="20" spans="1:10" x14ac:dyDescent="0.3">
      <c r="J20" s="35">
        <f>GETPIVOTDATA("[Measures].[Total_Gastos_Ops]",$I$11)</f>
        <v>13118</v>
      </c>
    </row>
    <row r="22" spans="1:10" x14ac:dyDescent="0.3">
      <c r="A22" s="16" t="s">
        <v>435</v>
      </c>
      <c r="B22" t="s">
        <v>442</v>
      </c>
    </row>
    <row r="23" spans="1:10" x14ac:dyDescent="0.3">
      <c r="A23" s="17" t="s">
        <v>19</v>
      </c>
      <c r="B23" s="18">
        <v>0.54991150442477876</v>
      </c>
    </row>
    <row r="24" spans="1:10" x14ac:dyDescent="0.3">
      <c r="A24" s="17" t="s">
        <v>11</v>
      </c>
      <c r="B24" s="18">
        <v>0.6</v>
      </c>
    </row>
    <row r="25" spans="1:10" x14ac:dyDescent="0.3">
      <c r="A25" s="17" t="s">
        <v>14</v>
      </c>
      <c r="B25" s="18">
        <v>0.70109489051094886</v>
      </c>
    </row>
    <row r="26" spans="1:10" x14ac:dyDescent="0.3">
      <c r="A26" s="17" t="s">
        <v>8</v>
      </c>
      <c r="B26" s="18">
        <v>0.6</v>
      </c>
    </row>
    <row r="27" spans="1:10" x14ac:dyDescent="0.3">
      <c r="A27" s="17" t="s">
        <v>436</v>
      </c>
      <c r="B27" s="18">
        <v>0.59977007089480738</v>
      </c>
    </row>
    <row r="34" spans="1:5" x14ac:dyDescent="0.3">
      <c r="A34" s="16" t="s">
        <v>435</v>
      </c>
      <c r="B34" t="s">
        <v>443</v>
      </c>
      <c r="C34" s="25" t="s">
        <v>444</v>
      </c>
      <c r="D34" t="s">
        <v>448</v>
      </c>
      <c r="E34" t="s">
        <v>445</v>
      </c>
    </row>
    <row r="35" spans="1:5" x14ac:dyDescent="0.3">
      <c r="A35" s="17" t="s">
        <v>169</v>
      </c>
      <c r="B35" s="28">
        <v>1350</v>
      </c>
      <c r="C35" s="28">
        <v>306.42857142857144</v>
      </c>
      <c r="D35" s="19">
        <v>6.128571428571429</v>
      </c>
      <c r="E35" s="29">
        <v>1.8511111111111112</v>
      </c>
    </row>
    <row r="36" spans="1:5" x14ac:dyDescent="0.3">
      <c r="A36" s="17" t="s">
        <v>167</v>
      </c>
      <c r="B36" s="28">
        <v>1350</v>
      </c>
      <c r="C36" s="28">
        <v>339</v>
      </c>
      <c r="D36" s="19">
        <v>7.5333333333333332</v>
      </c>
      <c r="E36" s="29">
        <v>2.7422222222222223</v>
      </c>
    </row>
    <row r="37" spans="1:5" x14ac:dyDescent="0.3">
      <c r="A37" s="17" t="s">
        <v>171</v>
      </c>
      <c r="B37" s="28">
        <v>1575</v>
      </c>
      <c r="C37" s="28">
        <v>420.66666666666669</v>
      </c>
      <c r="D37" s="19">
        <v>5.608888888888889</v>
      </c>
      <c r="E37" s="29">
        <v>1.4063492063492065</v>
      </c>
    </row>
    <row r="38" spans="1:5" x14ac:dyDescent="0.3">
      <c r="A38" s="17" t="s">
        <v>170</v>
      </c>
      <c r="B38" s="28">
        <v>0</v>
      </c>
      <c r="C38" s="28">
        <v>286.76470588235293</v>
      </c>
      <c r="D38" s="19">
        <v>0</v>
      </c>
      <c r="E38" s="29">
        <v>0</v>
      </c>
    </row>
    <row r="39" spans="1:5" x14ac:dyDescent="0.3">
      <c r="A39" s="17" t="s">
        <v>436</v>
      </c>
      <c r="B39" s="28">
        <v>4275</v>
      </c>
      <c r="C39" s="28">
        <v>334.55128205128204</v>
      </c>
      <c r="D39" s="19">
        <v>7.8257609836557203</v>
      </c>
      <c r="E39" s="29">
        <v>2.6610526315789476</v>
      </c>
    </row>
    <row r="41" spans="1:5" x14ac:dyDescent="0.3">
      <c r="D41" s="26">
        <f>GETPIVOTDATA("[Measures].[Relacion_LTV_CAC]",$A$34)</f>
        <v>7.8257609836557203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3704-AC29-44B6-8DD8-EC2A516149E1}">
  <dimension ref="F7:N15"/>
  <sheetViews>
    <sheetView showGridLines="0" workbookViewId="0">
      <selection activeCell="Q24" sqref="Q24"/>
    </sheetView>
  </sheetViews>
  <sheetFormatPr baseColWidth="10" defaultRowHeight="14.4" x14ac:dyDescent="0.3"/>
  <sheetData>
    <row r="7" spans="6:14" x14ac:dyDescent="0.3">
      <c r="F7" s="36" t="s">
        <v>450</v>
      </c>
      <c r="G7" s="36"/>
      <c r="H7" s="36"/>
      <c r="I7" s="36"/>
      <c r="J7" s="36"/>
      <c r="K7" s="36"/>
      <c r="L7" s="36"/>
      <c r="M7" s="36"/>
      <c r="N7" s="36"/>
    </row>
    <row r="8" spans="6:14" x14ac:dyDescent="0.3">
      <c r="F8" s="36"/>
      <c r="G8" s="36"/>
      <c r="H8" s="36"/>
      <c r="I8" s="36"/>
      <c r="J8" s="36"/>
      <c r="K8" s="36"/>
      <c r="L8" s="36"/>
      <c r="M8" s="36"/>
      <c r="N8" s="36"/>
    </row>
    <row r="9" spans="6:14" x14ac:dyDescent="0.3">
      <c r="F9" s="36"/>
      <c r="G9" s="36"/>
      <c r="H9" s="36"/>
      <c r="I9" s="36"/>
      <c r="J9" s="36"/>
      <c r="K9" s="36"/>
      <c r="L9" s="36"/>
      <c r="M9" s="36"/>
      <c r="N9" s="36"/>
    </row>
    <row r="10" spans="6:14" x14ac:dyDescent="0.3">
      <c r="F10" s="36"/>
      <c r="G10" s="36"/>
      <c r="H10" s="36"/>
      <c r="I10" s="36"/>
      <c r="J10" s="36"/>
      <c r="K10" s="36"/>
      <c r="L10" s="36"/>
      <c r="M10" s="36"/>
      <c r="N10" s="36"/>
    </row>
    <row r="11" spans="6:14" x14ac:dyDescent="0.3">
      <c r="F11" s="36"/>
      <c r="G11" s="36"/>
      <c r="H11" s="36"/>
      <c r="I11" s="36"/>
      <c r="J11" s="36"/>
      <c r="K11" s="36"/>
      <c r="L11" s="36"/>
      <c r="M11" s="36"/>
      <c r="N11" s="36"/>
    </row>
    <row r="12" spans="6:14" x14ac:dyDescent="0.3">
      <c r="F12" s="36"/>
      <c r="G12" s="36"/>
      <c r="H12" s="36"/>
      <c r="I12" s="36"/>
      <c r="J12" s="36"/>
      <c r="K12" s="36"/>
      <c r="L12" s="36"/>
      <c r="M12" s="36"/>
      <c r="N12" s="36"/>
    </row>
    <row r="13" spans="6:14" x14ac:dyDescent="0.3">
      <c r="F13" s="36"/>
      <c r="G13" s="36"/>
      <c r="H13" s="36"/>
      <c r="I13" s="36"/>
      <c r="J13" s="36"/>
      <c r="K13" s="36"/>
      <c r="L13" s="36"/>
      <c r="M13" s="36"/>
      <c r="N13" s="36"/>
    </row>
    <row r="14" spans="6:14" x14ac:dyDescent="0.3">
      <c r="F14" s="36"/>
      <c r="G14" s="36"/>
      <c r="H14" s="36"/>
      <c r="I14" s="36"/>
      <c r="J14" s="36"/>
      <c r="K14" s="36"/>
      <c r="L14" s="36"/>
      <c r="M14" s="36"/>
      <c r="N14" s="36"/>
    </row>
    <row r="15" spans="6:14" x14ac:dyDescent="0.3">
      <c r="F15" s="36"/>
      <c r="G15" s="36"/>
      <c r="H15" s="36"/>
      <c r="I15" s="36"/>
      <c r="J15" s="36"/>
      <c r="K15" s="36"/>
      <c r="L15" s="36"/>
      <c r="M15" s="36"/>
      <c r="N15" s="36"/>
    </row>
  </sheetData>
  <mergeCells count="1">
    <mergeCell ref="F7:N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FFC6-DB02-4798-969B-3D70ADFB3A74}">
  <dimension ref="A1:F101"/>
  <sheetViews>
    <sheetView workbookViewId="0">
      <selection activeCell="H11" sqref="H11"/>
    </sheetView>
  </sheetViews>
  <sheetFormatPr baseColWidth="10" defaultRowHeight="14.4" x14ac:dyDescent="0.3"/>
  <cols>
    <col min="3" max="3" width="13.44140625" customWidth="1"/>
    <col min="4" max="4" width="12.88671875" customWidth="1"/>
    <col min="5" max="5" width="18.44140625" style="19" customWidth="1"/>
    <col min="6" max="6" width="26.109375" style="19" customWidth="1"/>
  </cols>
  <sheetData>
    <row r="1" spans="1:6" x14ac:dyDescent="0.3">
      <c r="A1" t="s">
        <v>0</v>
      </c>
      <c r="B1" t="s">
        <v>1</v>
      </c>
      <c r="C1" t="s">
        <v>320</v>
      </c>
      <c r="D1" t="s">
        <v>2</v>
      </c>
      <c r="E1" s="19" t="s">
        <v>4</v>
      </c>
      <c r="F1" s="19" t="s">
        <v>5</v>
      </c>
    </row>
    <row r="2" spans="1:6" x14ac:dyDescent="0.3">
      <c r="A2" t="s">
        <v>6</v>
      </c>
      <c r="B2" t="s">
        <v>7</v>
      </c>
      <c r="C2" t="s">
        <v>321</v>
      </c>
      <c r="D2" s="1">
        <v>45662</v>
      </c>
      <c r="E2" s="19">
        <v>450</v>
      </c>
      <c r="F2" s="19">
        <v>180</v>
      </c>
    </row>
    <row r="3" spans="1:6" x14ac:dyDescent="0.3">
      <c r="A3" t="s">
        <v>9</v>
      </c>
      <c r="B3" t="s">
        <v>10</v>
      </c>
      <c r="C3" t="s">
        <v>322</v>
      </c>
      <c r="D3" s="1">
        <v>45665</v>
      </c>
      <c r="E3" s="19">
        <v>120</v>
      </c>
      <c r="F3" s="19">
        <v>48</v>
      </c>
    </row>
    <row r="4" spans="1:6" x14ac:dyDescent="0.3">
      <c r="A4" t="s">
        <v>12</v>
      </c>
      <c r="B4" t="s">
        <v>13</v>
      </c>
      <c r="C4" t="s">
        <v>323</v>
      </c>
      <c r="D4" s="1">
        <v>45669</v>
      </c>
      <c r="E4" s="19">
        <v>85</v>
      </c>
      <c r="F4" s="19">
        <v>25</v>
      </c>
    </row>
    <row r="5" spans="1:6" x14ac:dyDescent="0.3">
      <c r="A5" t="s">
        <v>15</v>
      </c>
      <c r="B5" t="s">
        <v>16</v>
      </c>
      <c r="C5" t="s">
        <v>321</v>
      </c>
      <c r="D5" s="1">
        <v>45672</v>
      </c>
      <c r="E5" s="19">
        <v>600</v>
      </c>
      <c r="F5" s="19">
        <v>240</v>
      </c>
    </row>
    <row r="6" spans="1:6" x14ac:dyDescent="0.3">
      <c r="A6" t="s">
        <v>17</v>
      </c>
      <c r="B6" t="s">
        <v>18</v>
      </c>
      <c r="C6" t="s">
        <v>324</v>
      </c>
      <c r="D6" s="1">
        <v>45676</v>
      </c>
      <c r="E6" s="19">
        <v>150</v>
      </c>
      <c r="F6" s="19">
        <v>67</v>
      </c>
    </row>
    <row r="7" spans="1:6" x14ac:dyDescent="0.3">
      <c r="A7" t="s">
        <v>20</v>
      </c>
      <c r="B7" t="s">
        <v>21</v>
      </c>
      <c r="C7" t="s">
        <v>322</v>
      </c>
      <c r="D7" s="1">
        <v>45679</v>
      </c>
      <c r="E7" s="19">
        <v>210</v>
      </c>
      <c r="F7" s="19">
        <v>84</v>
      </c>
    </row>
    <row r="8" spans="1:6" x14ac:dyDescent="0.3">
      <c r="A8" t="s">
        <v>22</v>
      </c>
      <c r="B8" t="s">
        <v>23</v>
      </c>
      <c r="C8" t="s">
        <v>323</v>
      </c>
      <c r="D8" s="1">
        <v>45683</v>
      </c>
      <c r="E8" s="19">
        <v>65</v>
      </c>
      <c r="F8" s="19">
        <v>20</v>
      </c>
    </row>
    <row r="9" spans="1:6" x14ac:dyDescent="0.3">
      <c r="A9" t="s">
        <v>24</v>
      </c>
      <c r="B9" t="s">
        <v>25</v>
      </c>
      <c r="C9" t="s">
        <v>321</v>
      </c>
      <c r="D9" s="1">
        <v>45690</v>
      </c>
      <c r="E9" s="19">
        <v>320</v>
      </c>
      <c r="F9" s="19">
        <v>128</v>
      </c>
    </row>
    <row r="10" spans="1:6" x14ac:dyDescent="0.3">
      <c r="A10" t="s">
        <v>26</v>
      </c>
      <c r="B10" t="s">
        <v>27</v>
      </c>
      <c r="C10" t="s">
        <v>324</v>
      </c>
      <c r="D10" s="1">
        <v>45693</v>
      </c>
      <c r="E10" s="19">
        <v>190</v>
      </c>
      <c r="F10" s="19">
        <v>85</v>
      </c>
    </row>
    <row r="11" spans="1:6" x14ac:dyDescent="0.3">
      <c r="A11" t="s">
        <v>28</v>
      </c>
      <c r="B11" t="s">
        <v>29</v>
      </c>
      <c r="C11" t="s">
        <v>322</v>
      </c>
      <c r="D11" s="1">
        <v>45697</v>
      </c>
      <c r="E11" s="19">
        <v>95</v>
      </c>
      <c r="F11" s="19">
        <v>38</v>
      </c>
    </row>
    <row r="12" spans="1:6" x14ac:dyDescent="0.3">
      <c r="A12" t="s">
        <v>30</v>
      </c>
      <c r="B12" t="s">
        <v>18</v>
      </c>
      <c r="C12" t="s">
        <v>323</v>
      </c>
      <c r="D12" s="1">
        <v>45702</v>
      </c>
      <c r="E12" s="19">
        <v>75</v>
      </c>
      <c r="F12" s="19">
        <v>22</v>
      </c>
    </row>
    <row r="13" spans="1:6" x14ac:dyDescent="0.3">
      <c r="A13" t="s">
        <v>31</v>
      </c>
      <c r="B13" t="s">
        <v>40</v>
      </c>
      <c r="C13" t="s">
        <v>321</v>
      </c>
      <c r="D13" s="1">
        <v>45706</v>
      </c>
      <c r="E13" s="19">
        <v>500</v>
      </c>
      <c r="F13" s="19">
        <v>200</v>
      </c>
    </row>
    <row r="14" spans="1:6" x14ac:dyDescent="0.3">
      <c r="A14" t="s">
        <v>33</v>
      </c>
      <c r="B14" t="s">
        <v>32</v>
      </c>
      <c r="C14" t="s">
        <v>324</v>
      </c>
      <c r="D14" s="1">
        <v>45710</v>
      </c>
      <c r="E14" s="19">
        <v>210</v>
      </c>
      <c r="F14" s="19">
        <v>95</v>
      </c>
    </row>
    <row r="15" spans="1:6" x14ac:dyDescent="0.3">
      <c r="A15" t="s">
        <v>35</v>
      </c>
      <c r="B15" t="s">
        <v>36</v>
      </c>
      <c r="C15" t="s">
        <v>322</v>
      </c>
      <c r="D15" s="1">
        <v>45714</v>
      </c>
      <c r="E15" s="19">
        <v>180</v>
      </c>
      <c r="F15" s="19">
        <v>72</v>
      </c>
    </row>
    <row r="16" spans="1:6" x14ac:dyDescent="0.3">
      <c r="A16" t="s">
        <v>37</v>
      </c>
      <c r="B16" t="s">
        <v>42</v>
      </c>
      <c r="C16" t="s">
        <v>323</v>
      </c>
      <c r="D16" s="1">
        <v>45719</v>
      </c>
      <c r="E16" s="19">
        <v>110</v>
      </c>
      <c r="F16" s="19">
        <v>33</v>
      </c>
    </row>
    <row r="17" spans="1:6" x14ac:dyDescent="0.3">
      <c r="A17" t="s">
        <v>39</v>
      </c>
      <c r="B17" t="s">
        <v>113</v>
      </c>
      <c r="C17" t="s">
        <v>321</v>
      </c>
      <c r="D17" s="1">
        <v>45723</v>
      </c>
      <c r="E17" s="19">
        <v>380</v>
      </c>
      <c r="F17" s="19">
        <v>152</v>
      </c>
    </row>
    <row r="18" spans="1:6" x14ac:dyDescent="0.3">
      <c r="A18" t="s">
        <v>41</v>
      </c>
      <c r="B18" t="s">
        <v>204</v>
      </c>
      <c r="C18" t="s">
        <v>322</v>
      </c>
      <c r="D18" s="1">
        <v>45728</v>
      </c>
      <c r="E18" s="19">
        <v>130</v>
      </c>
      <c r="F18" s="19">
        <v>52</v>
      </c>
    </row>
    <row r="19" spans="1:6" x14ac:dyDescent="0.3">
      <c r="A19" t="s">
        <v>43</v>
      </c>
      <c r="B19" t="s">
        <v>52</v>
      </c>
      <c r="C19" t="s">
        <v>324</v>
      </c>
      <c r="D19" s="1">
        <v>45732</v>
      </c>
      <c r="E19" s="19">
        <v>310</v>
      </c>
      <c r="F19" s="19">
        <v>139</v>
      </c>
    </row>
    <row r="20" spans="1:6" x14ac:dyDescent="0.3">
      <c r="A20" t="s">
        <v>45</v>
      </c>
      <c r="B20" t="s">
        <v>59</v>
      </c>
      <c r="C20" t="s">
        <v>323</v>
      </c>
      <c r="D20" s="1">
        <v>45737</v>
      </c>
      <c r="E20" s="19">
        <v>95</v>
      </c>
      <c r="F20" s="19">
        <v>28</v>
      </c>
    </row>
    <row r="21" spans="1:6" x14ac:dyDescent="0.3">
      <c r="A21" t="s">
        <v>46</v>
      </c>
      <c r="B21" t="s">
        <v>56</v>
      </c>
      <c r="C21" t="s">
        <v>321</v>
      </c>
      <c r="D21" s="1">
        <v>45741</v>
      </c>
      <c r="E21" s="19">
        <v>550</v>
      </c>
      <c r="F21" s="19">
        <v>220</v>
      </c>
    </row>
    <row r="22" spans="1:6" x14ac:dyDescent="0.3">
      <c r="A22" t="s">
        <v>47</v>
      </c>
      <c r="B22" t="s">
        <v>68</v>
      </c>
      <c r="C22" t="s">
        <v>322</v>
      </c>
      <c r="D22" s="1">
        <v>45749</v>
      </c>
      <c r="E22" s="19">
        <v>240</v>
      </c>
      <c r="F22" s="19">
        <v>96</v>
      </c>
    </row>
    <row r="23" spans="1:6" x14ac:dyDescent="0.3">
      <c r="A23" t="s">
        <v>49</v>
      </c>
      <c r="B23" t="s">
        <v>126</v>
      </c>
      <c r="C23" t="s">
        <v>324</v>
      </c>
      <c r="D23" s="1">
        <v>45752</v>
      </c>
      <c r="E23" s="19">
        <v>180</v>
      </c>
      <c r="F23" s="19">
        <v>81</v>
      </c>
    </row>
    <row r="24" spans="1:6" x14ac:dyDescent="0.3">
      <c r="A24" t="s">
        <v>51</v>
      </c>
      <c r="B24" t="s">
        <v>172</v>
      </c>
      <c r="C24" t="s">
        <v>323</v>
      </c>
      <c r="D24" s="1">
        <v>45756</v>
      </c>
      <c r="E24" s="19">
        <v>120</v>
      </c>
      <c r="F24" s="19">
        <v>36</v>
      </c>
    </row>
    <row r="25" spans="1:6" x14ac:dyDescent="0.3">
      <c r="A25" t="s">
        <v>53</v>
      </c>
      <c r="B25" t="s">
        <v>122</v>
      </c>
      <c r="C25" t="s">
        <v>321</v>
      </c>
      <c r="D25" s="1">
        <v>45761</v>
      </c>
      <c r="E25" s="19">
        <v>420</v>
      </c>
      <c r="F25" s="19">
        <v>168</v>
      </c>
    </row>
    <row r="26" spans="1:6" x14ac:dyDescent="0.3">
      <c r="A26" t="s">
        <v>55</v>
      </c>
      <c r="B26" t="s">
        <v>178</v>
      </c>
      <c r="C26" t="s">
        <v>322</v>
      </c>
      <c r="D26" s="1">
        <v>45765</v>
      </c>
      <c r="E26" s="19">
        <v>160</v>
      </c>
      <c r="F26" s="19">
        <v>64</v>
      </c>
    </row>
    <row r="27" spans="1:6" x14ac:dyDescent="0.3">
      <c r="A27" t="s">
        <v>57</v>
      </c>
      <c r="B27" t="s">
        <v>208</v>
      </c>
      <c r="C27" t="s">
        <v>324</v>
      </c>
      <c r="D27" s="1">
        <v>45769</v>
      </c>
      <c r="E27" s="19">
        <v>230</v>
      </c>
      <c r="F27" s="19">
        <v>103</v>
      </c>
    </row>
    <row r="28" spans="1:6" x14ac:dyDescent="0.3">
      <c r="A28" t="s">
        <v>58</v>
      </c>
      <c r="B28" t="s">
        <v>81</v>
      </c>
      <c r="C28" t="s">
        <v>323</v>
      </c>
      <c r="D28" s="1">
        <v>45773</v>
      </c>
      <c r="E28" s="19">
        <v>85</v>
      </c>
      <c r="F28" s="19">
        <v>25</v>
      </c>
    </row>
    <row r="29" spans="1:6" x14ac:dyDescent="0.3">
      <c r="A29" t="s">
        <v>60</v>
      </c>
      <c r="B29" t="s">
        <v>64</v>
      </c>
      <c r="C29" t="s">
        <v>321</v>
      </c>
      <c r="D29" s="1">
        <v>45779</v>
      </c>
      <c r="E29" s="19">
        <v>490</v>
      </c>
      <c r="F29" s="19">
        <v>196</v>
      </c>
    </row>
    <row r="30" spans="1:6" x14ac:dyDescent="0.3">
      <c r="A30" t="s">
        <v>62</v>
      </c>
      <c r="B30" t="s">
        <v>124</v>
      </c>
      <c r="C30" t="s">
        <v>322</v>
      </c>
      <c r="D30" s="1">
        <v>45783</v>
      </c>
      <c r="E30" s="19">
        <v>220</v>
      </c>
      <c r="F30" s="19">
        <v>88</v>
      </c>
    </row>
    <row r="31" spans="1:6" x14ac:dyDescent="0.3">
      <c r="A31" t="s">
        <v>63</v>
      </c>
      <c r="B31" t="s">
        <v>130</v>
      </c>
      <c r="C31" t="s">
        <v>324</v>
      </c>
      <c r="D31" s="1">
        <v>45788</v>
      </c>
      <c r="E31" s="19">
        <v>140</v>
      </c>
      <c r="F31" s="19">
        <v>63</v>
      </c>
    </row>
    <row r="32" spans="1:6" x14ac:dyDescent="0.3">
      <c r="A32" t="s">
        <v>65</v>
      </c>
      <c r="B32" t="s">
        <v>217</v>
      </c>
      <c r="C32" t="s">
        <v>323</v>
      </c>
      <c r="D32" s="1">
        <v>45792</v>
      </c>
      <c r="E32" s="19">
        <v>105</v>
      </c>
      <c r="F32" s="19">
        <v>31</v>
      </c>
    </row>
    <row r="33" spans="1:6" x14ac:dyDescent="0.3">
      <c r="A33" t="s">
        <v>67</v>
      </c>
      <c r="B33" t="s">
        <v>203</v>
      </c>
      <c r="C33" t="s">
        <v>321</v>
      </c>
      <c r="D33" s="1">
        <v>45797</v>
      </c>
      <c r="E33" s="19">
        <v>610</v>
      </c>
      <c r="F33" s="19">
        <v>244</v>
      </c>
    </row>
    <row r="34" spans="1:6" x14ac:dyDescent="0.3">
      <c r="A34" t="s">
        <v>69</v>
      </c>
      <c r="B34" t="s">
        <v>74</v>
      </c>
      <c r="C34" t="s">
        <v>322</v>
      </c>
      <c r="D34" s="1">
        <v>45802</v>
      </c>
      <c r="E34" s="19">
        <v>115</v>
      </c>
      <c r="F34" s="19">
        <v>46</v>
      </c>
    </row>
    <row r="35" spans="1:6" x14ac:dyDescent="0.3">
      <c r="A35" t="s">
        <v>71</v>
      </c>
      <c r="B35" t="s">
        <v>194</v>
      </c>
      <c r="C35" t="s">
        <v>324</v>
      </c>
      <c r="D35" s="1">
        <v>45810</v>
      </c>
      <c r="E35" s="19">
        <v>260</v>
      </c>
      <c r="F35" s="19">
        <v>117</v>
      </c>
    </row>
    <row r="36" spans="1:6" x14ac:dyDescent="0.3">
      <c r="A36" t="s">
        <v>73</v>
      </c>
      <c r="B36" t="s">
        <v>70</v>
      </c>
      <c r="C36" t="s">
        <v>323</v>
      </c>
      <c r="D36" s="1">
        <v>45813</v>
      </c>
      <c r="E36" s="19">
        <v>130</v>
      </c>
      <c r="F36" s="19">
        <v>39</v>
      </c>
    </row>
    <row r="37" spans="1:6" x14ac:dyDescent="0.3">
      <c r="A37" t="s">
        <v>75</v>
      </c>
      <c r="B37" t="s">
        <v>83</v>
      </c>
      <c r="C37" t="s">
        <v>321</v>
      </c>
      <c r="D37" s="1">
        <v>45817</v>
      </c>
      <c r="E37" s="19">
        <v>330</v>
      </c>
      <c r="F37" s="19">
        <v>132</v>
      </c>
    </row>
    <row r="38" spans="1:6" x14ac:dyDescent="0.3">
      <c r="A38" t="s">
        <v>77</v>
      </c>
      <c r="B38" t="s">
        <v>66</v>
      </c>
      <c r="C38" t="s">
        <v>322</v>
      </c>
      <c r="D38" s="1">
        <v>45822</v>
      </c>
      <c r="E38" s="19">
        <v>175</v>
      </c>
      <c r="F38" s="19">
        <v>70</v>
      </c>
    </row>
    <row r="39" spans="1:6" x14ac:dyDescent="0.3">
      <c r="A39" t="s">
        <v>79</v>
      </c>
      <c r="B39" t="s">
        <v>206</v>
      </c>
      <c r="C39" t="s">
        <v>324</v>
      </c>
      <c r="D39" s="1">
        <v>45826</v>
      </c>
      <c r="E39" s="19">
        <v>195</v>
      </c>
      <c r="F39" s="19">
        <v>88</v>
      </c>
    </row>
    <row r="40" spans="1:6" x14ac:dyDescent="0.3">
      <c r="A40" t="s">
        <v>80</v>
      </c>
      <c r="B40" t="s">
        <v>174</v>
      </c>
      <c r="C40" t="s">
        <v>323</v>
      </c>
      <c r="D40" s="1">
        <v>45830</v>
      </c>
      <c r="E40" s="19">
        <v>70</v>
      </c>
      <c r="F40" s="19">
        <v>21</v>
      </c>
    </row>
    <row r="41" spans="1:6" x14ac:dyDescent="0.3">
      <c r="A41" t="s">
        <v>82</v>
      </c>
      <c r="B41" t="s">
        <v>110</v>
      </c>
      <c r="C41" t="s">
        <v>321</v>
      </c>
      <c r="D41" s="1">
        <v>45834</v>
      </c>
      <c r="E41" s="19">
        <v>460</v>
      </c>
      <c r="F41" s="19">
        <v>184</v>
      </c>
    </row>
    <row r="42" spans="1:6" x14ac:dyDescent="0.3">
      <c r="A42" t="s">
        <v>84</v>
      </c>
      <c r="B42" t="s">
        <v>214</v>
      </c>
      <c r="C42" t="s">
        <v>322</v>
      </c>
      <c r="D42" s="1">
        <v>45840</v>
      </c>
      <c r="E42" s="19">
        <v>205</v>
      </c>
      <c r="F42" s="19">
        <v>82</v>
      </c>
    </row>
    <row r="43" spans="1:6" x14ac:dyDescent="0.3">
      <c r="A43" t="s">
        <v>85</v>
      </c>
      <c r="B43" t="s">
        <v>95</v>
      </c>
      <c r="C43" t="s">
        <v>324</v>
      </c>
      <c r="D43" s="1">
        <v>45843</v>
      </c>
      <c r="E43" s="19">
        <v>225</v>
      </c>
      <c r="F43" s="19">
        <v>101</v>
      </c>
    </row>
    <row r="44" spans="1:6" x14ac:dyDescent="0.3">
      <c r="A44" t="s">
        <v>87</v>
      </c>
      <c r="B44" t="s">
        <v>166</v>
      </c>
      <c r="C44" t="s">
        <v>323</v>
      </c>
      <c r="D44" s="1">
        <v>45847</v>
      </c>
      <c r="E44" s="19">
        <v>140</v>
      </c>
      <c r="F44" s="19">
        <v>42</v>
      </c>
    </row>
    <row r="45" spans="1:6" x14ac:dyDescent="0.3">
      <c r="A45" t="s">
        <v>89</v>
      </c>
      <c r="B45" t="s">
        <v>100</v>
      </c>
      <c r="C45" t="s">
        <v>321</v>
      </c>
      <c r="D45" s="1">
        <v>45852</v>
      </c>
      <c r="E45" s="19">
        <v>520</v>
      </c>
      <c r="F45" s="19">
        <v>208</v>
      </c>
    </row>
    <row r="46" spans="1:6" x14ac:dyDescent="0.3">
      <c r="A46" t="s">
        <v>91</v>
      </c>
      <c r="B46" t="s">
        <v>179</v>
      </c>
      <c r="C46" t="s">
        <v>322</v>
      </c>
      <c r="D46" s="1">
        <v>45856</v>
      </c>
      <c r="E46" s="19">
        <v>135</v>
      </c>
      <c r="F46" s="19">
        <v>54</v>
      </c>
    </row>
    <row r="47" spans="1:6" x14ac:dyDescent="0.3">
      <c r="A47" t="s">
        <v>92</v>
      </c>
      <c r="B47" t="s">
        <v>202</v>
      </c>
      <c r="C47" t="s">
        <v>324</v>
      </c>
      <c r="D47" s="1">
        <v>45860</v>
      </c>
      <c r="E47" s="19">
        <v>250</v>
      </c>
      <c r="F47" s="19">
        <v>113</v>
      </c>
    </row>
    <row r="48" spans="1:6" x14ac:dyDescent="0.3">
      <c r="A48" t="s">
        <v>94</v>
      </c>
      <c r="B48" t="s">
        <v>38</v>
      </c>
      <c r="C48" t="s">
        <v>323</v>
      </c>
      <c r="D48" s="1">
        <v>45864</v>
      </c>
      <c r="E48" s="19">
        <v>90</v>
      </c>
      <c r="F48" s="19">
        <v>27</v>
      </c>
    </row>
    <row r="49" spans="1:6" x14ac:dyDescent="0.3">
      <c r="A49" t="s">
        <v>96</v>
      </c>
      <c r="B49" t="s">
        <v>201</v>
      </c>
      <c r="C49" t="s">
        <v>321</v>
      </c>
      <c r="D49" s="1">
        <v>45871</v>
      </c>
      <c r="E49" s="19">
        <v>390</v>
      </c>
      <c r="F49" s="19">
        <v>156</v>
      </c>
    </row>
    <row r="50" spans="1:6" x14ac:dyDescent="0.3">
      <c r="A50" t="s">
        <v>97</v>
      </c>
      <c r="B50" t="s">
        <v>50</v>
      </c>
      <c r="C50" t="s">
        <v>322</v>
      </c>
      <c r="D50" s="1">
        <v>45874</v>
      </c>
      <c r="E50" s="19">
        <v>190</v>
      </c>
      <c r="F50" s="19">
        <v>76</v>
      </c>
    </row>
    <row r="51" spans="1:6" x14ac:dyDescent="0.3">
      <c r="A51" t="s">
        <v>99</v>
      </c>
      <c r="B51" t="s">
        <v>185</v>
      </c>
      <c r="C51" t="s">
        <v>324</v>
      </c>
      <c r="D51" s="1">
        <v>45878</v>
      </c>
      <c r="E51" s="19">
        <v>215</v>
      </c>
      <c r="F51" s="19">
        <v>97</v>
      </c>
    </row>
    <row r="52" spans="1:6" x14ac:dyDescent="0.3">
      <c r="A52" t="s">
        <v>101</v>
      </c>
      <c r="B52" t="s">
        <v>88</v>
      </c>
      <c r="C52" t="s">
        <v>323</v>
      </c>
      <c r="D52" s="1">
        <v>45883</v>
      </c>
      <c r="E52" s="19">
        <v>115</v>
      </c>
      <c r="F52" s="19">
        <v>34</v>
      </c>
    </row>
    <row r="53" spans="1:6" x14ac:dyDescent="0.3">
      <c r="A53" t="s">
        <v>103</v>
      </c>
      <c r="B53" t="s">
        <v>210</v>
      </c>
      <c r="C53" t="s">
        <v>321</v>
      </c>
      <c r="D53" s="1">
        <v>45887</v>
      </c>
      <c r="E53" s="19">
        <v>480</v>
      </c>
      <c r="F53" s="19">
        <v>192</v>
      </c>
    </row>
    <row r="54" spans="1:6" x14ac:dyDescent="0.3">
      <c r="A54" t="s">
        <v>105</v>
      </c>
      <c r="B54" t="s">
        <v>118</v>
      </c>
      <c r="C54" t="s">
        <v>322</v>
      </c>
      <c r="D54" s="1">
        <v>45891</v>
      </c>
      <c r="E54" s="19">
        <v>145</v>
      </c>
      <c r="F54" s="19">
        <v>58</v>
      </c>
    </row>
    <row r="55" spans="1:6" x14ac:dyDescent="0.3">
      <c r="A55" t="s">
        <v>106</v>
      </c>
      <c r="B55" t="s">
        <v>205</v>
      </c>
      <c r="C55" t="s">
        <v>324</v>
      </c>
      <c r="D55" s="1">
        <v>45895</v>
      </c>
      <c r="E55" s="19">
        <v>185</v>
      </c>
      <c r="F55" s="19">
        <v>83</v>
      </c>
    </row>
    <row r="56" spans="1:6" x14ac:dyDescent="0.3">
      <c r="A56" t="s">
        <v>108</v>
      </c>
      <c r="B56" t="s">
        <v>173</v>
      </c>
      <c r="C56" t="s">
        <v>323</v>
      </c>
      <c r="D56" s="1">
        <v>45902</v>
      </c>
      <c r="E56" s="19">
        <v>80</v>
      </c>
      <c r="F56" s="19">
        <v>24</v>
      </c>
    </row>
    <row r="57" spans="1:6" x14ac:dyDescent="0.3">
      <c r="A57" t="s">
        <v>109</v>
      </c>
      <c r="B57" t="s">
        <v>198</v>
      </c>
      <c r="C57" t="s">
        <v>321</v>
      </c>
      <c r="D57" s="1">
        <v>45905</v>
      </c>
      <c r="E57" s="19">
        <v>580</v>
      </c>
      <c r="F57" s="19">
        <v>232</v>
      </c>
    </row>
    <row r="58" spans="1:6" x14ac:dyDescent="0.3">
      <c r="A58" t="s">
        <v>111</v>
      </c>
      <c r="B58" t="s">
        <v>132</v>
      </c>
      <c r="C58" t="s">
        <v>322</v>
      </c>
      <c r="D58" s="1">
        <v>45909</v>
      </c>
      <c r="E58" s="19">
        <v>230</v>
      </c>
      <c r="F58" s="19">
        <v>92</v>
      </c>
    </row>
    <row r="59" spans="1:6" x14ac:dyDescent="0.3">
      <c r="A59" t="s">
        <v>112</v>
      </c>
      <c r="B59" t="s">
        <v>48</v>
      </c>
      <c r="C59" t="s">
        <v>324</v>
      </c>
      <c r="D59" s="1">
        <v>45912</v>
      </c>
      <c r="E59" s="19">
        <v>240</v>
      </c>
      <c r="F59" s="19">
        <v>108</v>
      </c>
    </row>
    <row r="60" spans="1:6" x14ac:dyDescent="0.3">
      <c r="A60" t="s">
        <v>114</v>
      </c>
      <c r="B60" t="s">
        <v>102</v>
      </c>
      <c r="C60" t="s">
        <v>323</v>
      </c>
      <c r="D60" s="1">
        <v>45916</v>
      </c>
      <c r="E60" s="19">
        <v>125</v>
      </c>
      <c r="F60" s="19">
        <v>37</v>
      </c>
    </row>
    <row r="61" spans="1:6" x14ac:dyDescent="0.3">
      <c r="A61" t="s">
        <v>115</v>
      </c>
      <c r="B61" t="s">
        <v>207</v>
      </c>
      <c r="C61" t="s">
        <v>321</v>
      </c>
      <c r="D61" s="1">
        <v>45920</v>
      </c>
      <c r="E61" s="19">
        <v>340</v>
      </c>
      <c r="F61" s="19">
        <v>136</v>
      </c>
    </row>
    <row r="62" spans="1:6" x14ac:dyDescent="0.3">
      <c r="A62" t="s">
        <v>117</v>
      </c>
      <c r="B62" t="s">
        <v>180</v>
      </c>
      <c r="C62" t="s">
        <v>324</v>
      </c>
      <c r="D62" s="1">
        <v>45932</v>
      </c>
      <c r="E62" s="19">
        <v>270</v>
      </c>
      <c r="F62" s="19">
        <v>122</v>
      </c>
    </row>
    <row r="63" spans="1:6" x14ac:dyDescent="0.3">
      <c r="A63" t="s">
        <v>119</v>
      </c>
      <c r="B63" t="s">
        <v>29</v>
      </c>
      <c r="C63" t="s">
        <v>322</v>
      </c>
      <c r="D63" s="1">
        <v>45955</v>
      </c>
      <c r="E63" s="19">
        <v>95</v>
      </c>
      <c r="F63" s="19">
        <v>38</v>
      </c>
    </row>
    <row r="64" spans="1:6" x14ac:dyDescent="0.3">
      <c r="A64" t="s">
        <v>120</v>
      </c>
      <c r="B64" t="s">
        <v>52</v>
      </c>
      <c r="C64" t="s">
        <v>321</v>
      </c>
      <c r="D64" s="1">
        <v>45963</v>
      </c>
      <c r="E64" s="19">
        <v>310</v>
      </c>
      <c r="F64" s="19">
        <v>124</v>
      </c>
    </row>
    <row r="65" spans="1:6" x14ac:dyDescent="0.3">
      <c r="A65" t="s">
        <v>121</v>
      </c>
      <c r="B65" t="s">
        <v>122</v>
      </c>
      <c r="C65" t="s">
        <v>324</v>
      </c>
      <c r="D65" s="1">
        <v>45967</v>
      </c>
      <c r="E65" s="19">
        <v>240</v>
      </c>
      <c r="F65" s="19">
        <v>108</v>
      </c>
    </row>
    <row r="66" spans="1:6" x14ac:dyDescent="0.3">
      <c r="A66" t="s">
        <v>123</v>
      </c>
      <c r="B66" t="s">
        <v>124</v>
      </c>
      <c r="C66" t="s">
        <v>323</v>
      </c>
      <c r="D66" s="1">
        <v>45972</v>
      </c>
      <c r="E66" s="19">
        <v>220</v>
      </c>
      <c r="F66" s="19">
        <v>66</v>
      </c>
    </row>
    <row r="67" spans="1:6" x14ac:dyDescent="0.3">
      <c r="A67" t="s">
        <v>125</v>
      </c>
      <c r="B67" t="s">
        <v>126</v>
      </c>
      <c r="C67" t="s">
        <v>322</v>
      </c>
      <c r="D67" s="1">
        <v>45976</v>
      </c>
      <c r="E67" s="19">
        <v>140</v>
      </c>
      <c r="F67" s="19">
        <v>56</v>
      </c>
    </row>
    <row r="68" spans="1:6" x14ac:dyDescent="0.3">
      <c r="A68" t="s">
        <v>127</v>
      </c>
      <c r="B68" t="s">
        <v>7</v>
      </c>
      <c r="C68" t="s">
        <v>321</v>
      </c>
      <c r="D68" s="1">
        <v>45981</v>
      </c>
      <c r="E68" s="19">
        <v>450</v>
      </c>
      <c r="F68" s="19">
        <v>180</v>
      </c>
    </row>
    <row r="69" spans="1:6" x14ac:dyDescent="0.3">
      <c r="A69" t="s">
        <v>128</v>
      </c>
      <c r="B69" t="s">
        <v>40</v>
      </c>
      <c r="C69" t="s">
        <v>324</v>
      </c>
      <c r="D69" s="1">
        <v>45986</v>
      </c>
      <c r="E69" s="19">
        <v>220</v>
      </c>
      <c r="F69" s="19">
        <v>99</v>
      </c>
    </row>
    <row r="70" spans="1:6" x14ac:dyDescent="0.3">
      <c r="A70" t="s">
        <v>129</v>
      </c>
      <c r="B70" t="s">
        <v>130</v>
      </c>
      <c r="C70" t="s">
        <v>323</v>
      </c>
      <c r="D70" s="1">
        <v>45993</v>
      </c>
      <c r="E70" s="19">
        <v>115</v>
      </c>
      <c r="F70" s="19">
        <v>34</v>
      </c>
    </row>
    <row r="71" spans="1:6" x14ac:dyDescent="0.3">
      <c r="A71" t="s">
        <v>131</v>
      </c>
      <c r="B71" t="s">
        <v>132</v>
      </c>
      <c r="C71" t="s">
        <v>322</v>
      </c>
      <c r="D71" s="1">
        <v>45997</v>
      </c>
      <c r="E71" s="19">
        <v>410</v>
      </c>
      <c r="F71" s="19">
        <v>164</v>
      </c>
    </row>
    <row r="72" spans="1:6" x14ac:dyDescent="0.3">
      <c r="A72" t="s">
        <v>133</v>
      </c>
      <c r="B72" t="s">
        <v>78</v>
      </c>
      <c r="C72" t="s">
        <v>321</v>
      </c>
      <c r="D72" s="1">
        <v>46002</v>
      </c>
      <c r="E72" s="19">
        <v>620</v>
      </c>
      <c r="F72" s="19">
        <v>248</v>
      </c>
    </row>
    <row r="73" spans="1:6" x14ac:dyDescent="0.3">
      <c r="A73" t="s">
        <v>134</v>
      </c>
      <c r="B73" t="s">
        <v>16</v>
      </c>
      <c r="C73" t="s">
        <v>321</v>
      </c>
      <c r="D73" s="1">
        <v>46006</v>
      </c>
      <c r="E73" s="19">
        <v>600</v>
      </c>
      <c r="F73" s="19">
        <v>240</v>
      </c>
    </row>
    <row r="74" spans="1:6" x14ac:dyDescent="0.3">
      <c r="A74" t="s">
        <v>135</v>
      </c>
      <c r="B74" t="s">
        <v>13</v>
      </c>
      <c r="C74" t="s">
        <v>324</v>
      </c>
      <c r="D74" s="1">
        <v>46011</v>
      </c>
      <c r="E74" s="19">
        <v>190</v>
      </c>
      <c r="F74" s="19">
        <v>85</v>
      </c>
    </row>
    <row r="75" spans="1:6" x14ac:dyDescent="0.3">
      <c r="A75" t="s">
        <v>136</v>
      </c>
      <c r="B75" t="s">
        <v>113</v>
      </c>
      <c r="C75" t="s">
        <v>323</v>
      </c>
      <c r="D75" s="1">
        <v>46017</v>
      </c>
      <c r="E75" s="19">
        <v>130</v>
      </c>
      <c r="F75" s="19">
        <v>39</v>
      </c>
    </row>
    <row r="76" spans="1:6" x14ac:dyDescent="0.3">
      <c r="A76" t="s">
        <v>137</v>
      </c>
      <c r="B76" t="s">
        <v>166</v>
      </c>
      <c r="C76" t="s">
        <v>322</v>
      </c>
      <c r="D76" s="1">
        <v>45662</v>
      </c>
      <c r="E76" s="19">
        <v>210</v>
      </c>
      <c r="F76" s="19">
        <v>84</v>
      </c>
    </row>
    <row r="77" spans="1:6" x14ac:dyDescent="0.3">
      <c r="A77" t="s">
        <v>138</v>
      </c>
      <c r="B77" t="s">
        <v>190</v>
      </c>
      <c r="C77" t="s">
        <v>321</v>
      </c>
      <c r="D77" s="1">
        <v>45667</v>
      </c>
      <c r="E77" s="19">
        <v>510</v>
      </c>
      <c r="F77" s="19">
        <v>204</v>
      </c>
    </row>
    <row r="78" spans="1:6" x14ac:dyDescent="0.3">
      <c r="A78" t="s">
        <v>139</v>
      </c>
      <c r="B78" t="s">
        <v>116</v>
      </c>
      <c r="C78" t="s">
        <v>324</v>
      </c>
      <c r="D78" s="1">
        <v>45672</v>
      </c>
      <c r="E78" s="19">
        <v>290</v>
      </c>
      <c r="F78" s="19">
        <v>131</v>
      </c>
    </row>
    <row r="79" spans="1:6" x14ac:dyDescent="0.3">
      <c r="A79" t="s">
        <v>140</v>
      </c>
      <c r="B79" t="s">
        <v>98</v>
      </c>
      <c r="C79" t="s">
        <v>323</v>
      </c>
      <c r="D79" s="1">
        <v>45677</v>
      </c>
      <c r="E79" s="19">
        <v>140</v>
      </c>
      <c r="F79" s="19">
        <v>42</v>
      </c>
    </row>
    <row r="80" spans="1:6" x14ac:dyDescent="0.3">
      <c r="A80" t="s">
        <v>141</v>
      </c>
      <c r="B80" t="s">
        <v>72</v>
      </c>
      <c r="C80" t="s">
        <v>322</v>
      </c>
      <c r="D80" s="1">
        <v>45682</v>
      </c>
      <c r="E80" s="19">
        <v>185</v>
      </c>
      <c r="F80" s="19">
        <v>74</v>
      </c>
    </row>
    <row r="81" spans="1:6" x14ac:dyDescent="0.3">
      <c r="A81" t="s">
        <v>142</v>
      </c>
      <c r="B81" t="s">
        <v>70</v>
      </c>
      <c r="C81" t="s">
        <v>321</v>
      </c>
      <c r="D81" s="1">
        <v>45690</v>
      </c>
      <c r="E81" s="19">
        <v>430</v>
      </c>
      <c r="F81" s="19">
        <v>172</v>
      </c>
    </row>
    <row r="82" spans="1:6" x14ac:dyDescent="0.3">
      <c r="A82" t="s">
        <v>143</v>
      </c>
      <c r="B82" t="s">
        <v>213</v>
      </c>
      <c r="C82" t="s">
        <v>324</v>
      </c>
      <c r="D82" s="1">
        <v>45695</v>
      </c>
      <c r="E82" s="19">
        <v>310</v>
      </c>
      <c r="F82" s="19">
        <v>140</v>
      </c>
    </row>
    <row r="83" spans="1:6" x14ac:dyDescent="0.3">
      <c r="A83" t="s">
        <v>144</v>
      </c>
      <c r="B83" t="s">
        <v>184</v>
      </c>
      <c r="C83" t="s">
        <v>323</v>
      </c>
      <c r="D83" s="1">
        <v>45700</v>
      </c>
      <c r="E83" s="19">
        <v>100</v>
      </c>
      <c r="F83" s="19">
        <v>30</v>
      </c>
    </row>
    <row r="84" spans="1:6" x14ac:dyDescent="0.3">
      <c r="A84" t="s">
        <v>145</v>
      </c>
      <c r="B84" t="s">
        <v>86</v>
      </c>
      <c r="C84" t="s">
        <v>322</v>
      </c>
      <c r="D84" s="1">
        <v>45706</v>
      </c>
      <c r="E84" s="19">
        <v>220</v>
      </c>
      <c r="F84" s="19">
        <v>88</v>
      </c>
    </row>
    <row r="85" spans="1:6" x14ac:dyDescent="0.3">
      <c r="A85" t="s">
        <v>146</v>
      </c>
      <c r="B85" t="s">
        <v>176</v>
      </c>
      <c r="C85" t="s">
        <v>321</v>
      </c>
      <c r="D85" s="1">
        <v>45712</v>
      </c>
      <c r="E85" s="19">
        <v>560</v>
      </c>
      <c r="F85" s="19">
        <v>224</v>
      </c>
    </row>
    <row r="86" spans="1:6" x14ac:dyDescent="0.3">
      <c r="A86" t="s">
        <v>147</v>
      </c>
      <c r="B86" t="s">
        <v>199</v>
      </c>
      <c r="C86" t="s">
        <v>324</v>
      </c>
      <c r="D86" s="1">
        <v>45718</v>
      </c>
      <c r="E86" s="19">
        <v>280</v>
      </c>
      <c r="F86" s="19">
        <v>126</v>
      </c>
    </row>
    <row r="87" spans="1:6" x14ac:dyDescent="0.3">
      <c r="A87" t="s">
        <v>148</v>
      </c>
      <c r="B87" t="s">
        <v>216</v>
      </c>
      <c r="C87" t="s">
        <v>323</v>
      </c>
      <c r="D87" s="1">
        <v>45724</v>
      </c>
      <c r="E87" s="19">
        <v>165</v>
      </c>
      <c r="F87" s="19">
        <v>50</v>
      </c>
    </row>
    <row r="88" spans="1:6" x14ac:dyDescent="0.3">
      <c r="A88" t="s">
        <v>149</v>
      </c>
      <c r="B88" t="s">
        <v>181</v>
      </c>
      <c r="C88" t="s">
        <v>322</v>
      </c>
      <c r="D88" s="1">
        <v>45730</v>
      </c>
      <c r="E88" s="19">
        <v>195</v>
      </c>
      <c r="F88" s="19">
        <v>78</v>
      </c>
    </row>
    <row r="89" spans="1:6" x14ac:dyDescent="0.3">
      <c r="A89" t="s">
        <v>34</v>
      </c>
      <c r="B89" t="s">
        <v>207</v>
      </c>
      <c r="C89" t="s">
        <v>321</v>
      </c>
      <c r="D89" s="1">
        <v>45736</v>
      </c>
      <c r="E89" s="19">
        <v>490</v>
      </c>
      <c r="F89" s="19">
        <v>196</v>
      </c>
    </row>
    <row r="90" spans="1:6" x14ac:dyDescent="0.3">
      <c r="A90" t="s">
        <v>150</v>
      </c>
      <c r="B90" t="s">
        <v>196</v>
      </c>
      <c r="C90" t="s">
        <v>324</v>
      </c>
      <c r="D90" s="1">
        <v>45742</v>
      </c>
      <c r="E90" s="19">
        <v>245</v>
      </c>
      <c r="F90" s="19">
        <v>110</v>
      </c>
    </row>
    <row r="91" spans="1:6" x14ac:dyDescent="0.3">
      <c r="A91" t="s">
        <v>151</v>
      </c>
      <c r="B91" t="s">
        <v>88</v>
      </c>
      <c r="C91" t="s">
        <v>323</v>
      </c>
      <c r="D91" s="1">
        <v>45749</v>
      </c>
      <c r="E91" s="19">
        <v>120</v>
      </c>
      <c r="F91" s="19">
        <v>36</v>
      </c>
    </row>
    <row r="92" spans="1:6" x14ac:dyDescent="0.3">
      <c r="A92" t="s">
        <v>152</v>
      </c>
      <c r="B92" t="s">
        <v>212</v>
      </c>
      <c r="C92" t="s">
        <v>322</v>
      </c>
      <c r="D92" s="1">
        <v>45753</v>
      </c>
      <c r="E92" s="19">
        <v>250</v>
      </c>
      <c r="F92" s="19">
        <v>100</v>
      </c>
    </row>
    <row r="93" spans="1:6" x14ac:dyDescent="0.3">
      <c r="A93" t="s">
        <v>153</v>
      </c>
      <c r="B93" t="s">
        <v>187</v>
      </c>
      <c r="C93" t="s">
        <v>321</v>
      </c>
      <c r="D93" s="1">
        <v>45758</v>
      </c>
      <c r="E93" s="19">
        <v>640</v>
      </c>
      <c r="F93" s="19">
        <v>256</v>
      </c>
    </row>
    <row r="94" spans="1:6" x14ac:dyDescent="0.3">
      <c r="A94" t="s">
        <v>154</v>
      </c>
      <c r="B94" t="s">
        <v>25</v>
      </c>
      <c r="C94" t="s">
        <v>324</v>
      </c>
      <c r="D94" s="1">
        <v>45762</v>
      </c>
      <c r="E94" s="19">
        <v>330</v>
      </c>
      <c r="F94" s="19">
        <v>149</v>
      </c>
    </row>
    <row r="95" spans="1:6" x14ac:dyDescent="0.3">
      <c r="A95" t="s">
        <v>155</v>
      </c>
      <c r="B95" t="s">
        <v>38</v>
      </c>
      <c r="C95" t="s">
        <v>323</v>
      </c>
      <c r="D95" s="1">
        <v>45767</v>
      </c>
      <c r="E95" s="19">
        <v>150</v>
      </c>
      <c r="F95" s="19">
        <v>45</v>
      </c>
    </row>
    <row r="96" spans="1:6" x14ac:dyDescent="0.3">
      <c r="A96" t="s">
        <v>156</v>
      </c>
      <c r="B96" t="s">
        <v>104</v>
      </c>
      <c r="C96" t="s">
        <v>322</v>
      </c>
      <c r="D96" s="1">
        <v>45772</v>
      </c>
      <c r="E96" s="19">
        <v>205</v>
      </c>
      <c r="F96" s="19">
        <v>82</v>
      </c>
    </row>
    <row r="97" spans="1:6" x14ac:dyDescent="0.3">
      <c r="A97" t="s">
        <v>157</v>
      </c>
      <c r="B97" t="s">
        <v>42</v>
      </c>
      <c r="C97" t="s">
        <v>321</v>
      </c>
      <c r="D97" s="1">
        <v>45779</v>
      </c>
      <c r="E97" s="19">
        <v>470</v>
      </c>
      <c r="F97" s="19">
        <v>188</v>
      </c>
    </row>
    <row r="98" spans="1:6" x14ac:dyDescent="0.3">
      <c r="A98" t="s">
        <v>158</v>
      </c>
      <c r="B98" t="s">
        <v>215</v>
      </c>
      <c r="C98" t="s">
        <v>324</v>
      </c>
      <c r="D98" s="1">
        <v>45785</v>
      </c>
      <c r="E98" s="19">
        <v>295</v>
      </c>
      <c r="F98" s="19">
        <v>133</v>
      </c>
    </row>
    <row r="99" spans="1:6" x14ac:dyDescent="0.3">
      <c r="A99" t="s">
        <v>159</v>
      </c>
      <c r="B99" t="s">
        <v>183</v>
      </c>
      <c r="C99" t="s">
        <v>323</v>
      </c>
      <c r="D99" s="1">
        <v>45791</v>
      </c>
      <c r="E99" s="19">
        <v>110</v>
      </c>
      <c r="F99" s="19">
        <v>33</v>
      </c>
    </row>
    <row r="100" spans="1:6" x14ac:dyDescent="0.3">
      <c r="A100" t="s">
        <v>160</v>
      </c>
      <c r="B100" t="s">
        <v>100</v>
      </c>
      <c r="C100" t="s">
        <v>322</v>
      </c>
      <c r="D100" s="1">
        <v>45797</v>
      </c>
      <c r="E100" s="19">
        <v>215</v>
      </c>
      <c r="F100" s="19">
        <v>86</v>
      </c>
    </row>
    <row r="101" spans="1:6" x14ac:dyDescent="0.3">
      <c r="A101" t="s">
        <v>161</v>
      </c>
      <c r="B101" t="s">
        <v>36</v>
      </c>
      <c r="C101" t="s">
        <v>321</v>
      </c>
      <c r="D101" s="1">
        <v>45803</v>
      </c>
      <c r="E101" s="19">
        <v>530</v>
      </c>
      <c r="F101" s="19">
        <v>212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B448-90DB-41FD-85B4-FD918866E437}">
  <dimension ref="A1:F101"/>
  <sheetViews>
    <sheetView workbookViewId="0">
      <selection activeCell="F16" sqref="F16"/>
    </sheetView>
  </sheetViews>
  <sheetFormatPr baseColWidth="10" defaultRowHeight="14.4" x14ac:dyDescent="0.3"/>
  <cols>
    <col min="1" max="1" width="14.21875" customWidth="1"/>
    <col min="2" max="2" width="22.21875" customWidth="1"/>
    <col min="3" max="3" width="27.88671875" style="19" customWidth="1"/>
    <col min="4" max="4" width="24.6640625" customWidth="1"/>
    <col min="5" max="5" width="18.21875" customWidth="1"/>
    <col min="6" max="6" width="23" customWidth="1"/>
  </cols>
  <sheetData>
    <row r="1" spans="1:6" ht="15" thickBot="1" x14ac:dyDescent="0.35">
      <c r="A1" s="8" t="s">
        <v>1</v>
      </c>
      <c r="B1" s="9" t="s">
        <v>162</v>
      </c>
      <c r="C1" s="21" t="s">
        <v>163</v>
      </c>
      <c r="D1" s="9" t="s">
        <v>164</v>
      </c>
      <c r="E1" s="9" t="s">
        <v>303</v>
      </c>
      <c r="F1" s="10" t="s">
        <v>165</v>
      </c>
    </row>
    <row r="2" spans="1:6" ht="15" thickBot="1" x14ac:dyDescent="0.35">
      <c r="A2" s="6" t="s">
        <v>166</v>
      </c>
      <c r="B2" s="3" t="s">
        <v>167</v>
      </c>
      <c r="C2" s="22">
        <v>45</v>
      </c>
      <c r="D2" s="4">
        <v>45659</v>
      </c>
      <c r="E2" s="3" t="s">
        <v>266</v>
      </c>
      <c r="F2" s="7" t="s">
        <v>168</v>
      </c>
    </row>
    <row r="3" spans="1:6" ht="15" thickBot="1" x14ac:dyDescent="0.35">
      <c r="A3" s="6" t="s">
        <v>56</v>
      </c>
      <c r="B3" s="3" t="s">
        <v>169</v>
      </c>
      <c r="C3" s="22">
        <v>50</v>
      </c>
      <c r="D3" s="4">
        <v>45661</v>
      </c>
      <c r="E3" s="3" t="s">
        <v>266</v>
      </c>
      <c r="F3" s="7" t="s">
        <v>168</v>
      </c>
    </row>
    <row r="4" spans="1:6" ht="15" thickBot="1" x14ac:dyDescent="0.35">
      <c r="A4" s="6" t="s">
        <v>18</v>
      </c>
      <c r="B4" s="3" t="s">
        <v>170</v>
      </c>
      <c r="C4" s="22">
        <v>0</v>
      </c>
      <c r="D4" s="4">
        <v>45662</v>
      </c>
      <c r="E4" s="3" t="s">
        <v>266</v>
      </c>
      <c r="F4" s="7" t="s">
        <v>168</v>
      </c>
    </row>
    <row r="5" spans="1:6" ht="15" thickBot="1" x14ac:dyDescent="0.35">
      <c r="A5" s="6" t="s">
        <v>88</v>
      </c>
      <c r="B5" s="3" t="s">
        <v>167</v>
      </c>
      <c r="C5" s="22">
        <v>45</v>
      </c>
      <c r="D5" s="4">
        <v>45665</v>
      </c>
      <c r="E5" s="3" t="s">
        <v>266</v>
      </c>
      <c r="F5" s="7" t="s">
        <v>168</v>
      </c>
    </row>
    <row r="6" spans="1:6" ht="15" thickBot="1" x14ac:dyDescent="0.35">
      <c r="A6" s="6" t="s">
        <v>70</v>
      </c>
      <c r="B6" s="3" t="s">
        <v>171</v>
      </c>
      <c r="C6" s="22">
        <v>75</v>
      </c>
      <c r="D6" s="4">
        <v>45669</v>
      </c>
      <c r="E6" s="3" t="s">
        <v>266</v>
      </c>
      <c r="F6" s="7" t="s">
        <v>168</v>
      </c>
    </row>
    <row r="7" spans="1:6" ht="15" thickBot="1" x14ac:dyDescent="0.35">
      <c r="A7" s="6" t="s">
        <v>172</v>
      </c>
      <c r="B7" s="3" t="s">
        <v>169</v>
      </c>
      <c r="C7" s="22">
        <v>50</v>
      </c>
      <c r="D7" s="4">
        <v>45672</v>
      </c>
      <c r="E7" s="3" t="s">
        <v>266</v>
      </c>
      <c r="F7" s="7" t="s">
        <v>168</v>
      </c>
    </row>
    <row r="8" spans="1:6" ht="15" thickBot="1" x14ac:dyDescent="0.35">
      <c r="A8" s="6" t="s">
        <v>130</v>
      </c>
      <c r="B8" s="3" t="s">
        <v>167</v>
      </c>
      <c r="C8" s="22">
        <v>45</v>
      </c>
      <c r="D8" s="4">
        <v>45676</v>
      </c>
      <c r="E8" s="3" t="s">
        <v>266</v>
      </c>
      <c r="F8" s="7" t="s">
        <v>168</v>
      </c>
    </row>
    <row r="9" spans="1:6" ht="15" thickBot="1" x14ac:dyDescent="0.35">
      <c r="A9" s="6" t="s">
        <v>102</v>
      </c>
      <c r="B9" s="3" t="s">
        <v>170</v>
      </c>
      <c r="C9" s="22">
        <v>0</v>
      </c>
      <c r="D9" s="4">
        <v>45679</v>
      </c>
      <c r="E9" s="3" t="s">
        <v>266</v>
      </c>
      <c r="F9" s="7" t="s">
        <v>168</v>
      </c>
    </row>
    <row r="10" spans="1:6" ht="15" thickBot="1" x14ac:dyDescent="0.35">
      <c r="A10" s="6" t="s">
        <v>42</v>
      </c>
      <c r="B10" s="3" t="s">
        <v>169</v>
      </c>
      <c r="C10" s="22">
        <v>50</v>
      </c>
      <c r="D10" s="4">
        <v>45682</v>
      </c>
      <c r="E10" s="3" t="s">
        <v>266</v>
      </c>
      <c r="F10" s="7" t="s">
        <v>168</v>
      </c>
    </row>
    <row r="11" spans="1:6" ht="15" thickBot="1" x14ac:dyDescent="0.35">
      <c r="A11" s="6" t="s">
        <v>173</v>
      </c>
      <c r="B11" s="3" t="s">
        <v>171</v>
      </c>
      <c r="C11" s="22">
        <v>75</v>
      </c>
      <c r="D11" s="4">
        <v>45689</v>
      </c>
      <c r="E11" s="3" t="s">
        <v>275</v>
      </c>
      <c r="F11" s="7" t="s">
        <v>168</v>
      </c>
    </row>
    <row r="12" spans="1:6" ht="15" thickBot="1" x14ac:dyDescent="0.35">
      <c r="A12" s="6" t="s">
        <v>81</v>
      </c>
      <c r="B12" s="3" t="s">
        <v>167</v>
      </c>
      <c r="C12" s="22">
        <v>45</v>
      </c>
      <c r="D12" s="4">
        <v>45691</v>
      </c>
      <c r="E12" s="3" t="s">
        <v>275</v>
      </c>
      <c r="F12" s="7" t="s">
        <v>168</v>
      </c>
    </row>
    <row r="13" spans="1:6" ht="15" thickBot="1" x14ac:dyDescent="0.35">
      <c r="A13" s="6" t="s">
        <v>13</v>
      </c>
      <c r="B13" s="3" t="s">
        <v>170</v>
      </c>
      <c r="C13" s="22">
        <v>0</v>
      </c>
      <c r="D13" s="4">
        <v>45694</v>
      </c>
      <c r="E13" s="3" t="s">
        <v>275</v>
      </c>
      <c r="F13" s="7" t="s">
        <v>168</v>
      </c>
    </row>
    <row r="14" spans="1:6" ht="15" thickBot="1" x14ac:dyDescent="0.35">
      <c r="A14" s="6" t="s">
        <v>174</v>
      </c>
      <c r="B14" s="3" t="s">
        <v>169</v>
      </c>
      <c r="C14" s="22">
        <v>50</v>
      </c>
      <c r="D14" s="4">
        <v>45698</v>
      </c>
      <c r="E14" s="3" t="s">
        <v>275</v>
      </c>
      <c r="F14" s="7" t="s">
        <v>168</v>
      </c>
    </row>
    <row r="15" spans="1:6" ht="15" thickBot="1" x14ac:dyDescent="0.35">
      <c r="A15" s="6" t="s">
        <v>52</v>
      </c>
      <c r="B15" s="3" t="s">
        <v>167</v>
      </c>
      <c r="C15" s="22">
        <v>45</v>
      </c>
      <c r="D15" s="4">
        <v>45702</v>
      </c>
      <c r="E15" s="3" t="s">
        <v>275</v>
      </c>
      <c r="F15" s="7" t="s">
        <v>168</v>
      </c>
    </row>
    <row r="16" spans="1:6" ht="15" thickBot="1" x14ac:dyDescent="0.35">
      <c r="A16" s="6" t="s">
        <v>38</v>
      </c>
      <c r="B16" s="3" t="s">
        <v>171</v>
      </c>
      <c r="C16" s="22">
        <v>75</v>
      </c>
      <c r="D16" s="4">
        <v>45706</v>
      </c>
      <c r="E16" s="3" t="s">
        <v>275</v>
      </c>
      <c r="F16" s="7" t="s">
        <v>168</v>
      </c>
    </row>
    <row r="17" spans="1:6" ht="15" thickBot="1" x14ac:dyDescent="0.35">
      <c r="A17" s="6" t="s">
        <v>175</v>
      </c>
      <c r="B17" s="3" t="s">
        <v>169</v>
      </c>
      <c r="C17" s="22">
        <v>50</v>
      </c>
      <c r="D17" s="4">
        <v>45710</v>
      </c>
      <c r="E17" s="3" t="s">
        <v>275</v>
      </c>
      <c r="F17" s="7" t="s">
        <v>168</v>
      </c>
    </row>
    <row r="18" spans="1:6" ht="15" thickBot="1" x14ac:dyDescent="0.35">
      <c r="A18" s="6" t="s">
        <v>176</v>
      </c>
      <c r="B18" s="3" t="s">
        <v>170</v>
      </c>
      <c r="C18" s="22">
        <v>0</v>
      </c>
      <c r="D18" s="4">
        <v>45713</v>
      </c>
      <c r="E18" s="3" t="s">
        <v>275</v>
      </c>
      <c r="F18" s="7" t="s">
        <v>168</v>
      </c>
    </row>
    <row r="19" spans="1:6" ht="15" thickBot="1" x14ac:dyDescent="0.35">
      <c r="A19" s="6" t="s">
        <v>74</v>
      </c>
      <c r="B19" s="3" t="s">
        <v>167</v>
      </c>
      <c r="C19" s="22">
        <v>45</v>
      </c>
      <c r="D19" s="4">
        <v>45716</v>
      </c>
      <c r="E19" s="3" t="s">
        <v>275</v>
      </c>
      <c r="F19" s="7" t="s">
        <v>168</v>
      </c>
    </row>
    <row r="20" spans="1:6" ht="15" thickBot="1" x14ac:dyDescent="0.35">
      <c r="A20" s="6" t="s">
        <v>27</v>
      </c>
      <c r="B20" s="3" t="s">
        <v>169</v>
      </c>
      <c r="C20" s="22">
        <v>50</v>
      </c>
      <c r="D20" s="4">
        <v>45719</v>
      </c>
      <c r="E20" s="3" t="s">
        <v>280</v>
      </c>
      <c r="F20" s="7" t="s">
        <v>168</v>
      </c>
    </row>
    <row r="21" spans="1:6" ht="15" thickBot="1" x14ac:dyDescent="0.35">
      <c r="A21" s="6" t="s">
        <v>177</v>
      </c>
      <c r="B21" s="3" t="s">
        <v>171</v>
      </c>
      <c r="C21" s="22">
        <v>75</v>
      </c>
      <c r="D21" s="4">
        <v>45723</v>
      </c>
      <c r="E21" s="3" t="s">
        <v>280</v>
      </c>
      <c r="F21" s="7" t="s">
        <v>168</v>
      </c>
    </row>
    <row r="22" spans="1:6" ht="15" thickBot="1" x14ac:dyDescent="0.35">
      <c r="A22" s="6" t="s">
        <v>178</v>
      </c>
      <c r="B22" s="3" t="s">
        <v>167</v>
      </c>
      <c r="C22" s="22">
        <v>45</v>
      </c>
      <c r="D22" s="4">
        <v>45727</v>
      </c>
      <c r="E22" s="3" t="s">
        <v>280</v>
      </c>
      <c r="F22" s="7" t="s">
        <v>168</v>
      </c>
    </row>
    <row r="23" spans="1:6" ht="15" thickBot="1" x14ac:dyDescent="0.35">
      <c r="A23" s="6" t="s">
        <v>98</v>
      </c>
      <c r="B23" s="3" t="s">
        <v>170</v>
      </c>
      <c r="C23" s="22">
        <v>0</v>
      </c>
      <c r="D23" s="4">
        <v>45731</v>
      </c>
      <c r="E23" s="3" t="s">
        <v>280</v>
      </c>
      <c r="F23" s="7" t="s">
        <v>168</v>
      </c>
    </row>
    <row r="24" spans="1:6" ht="15" thickBot="1" x14ac:dyDescent="0.35">
      <c r="A24" s="6" t="s">
        <v>179</v>
      </c>
      <c r="B24" s="3" t="s">
        <v>169</v>
      </c>
      <c r="C24" s="22">
        <v>50</v>
      </c>
      <c r="D24" s="4">
        <v>45735</v>
      </c>
      <c r="E24" s="3" t="s">
        <v>280</v>
      </c>
      <c r="F24" s="7" t="s">
        <v>168</v>
      </c>
    </row>
    <row r="25" spans="1:6" ht="15" thickBot="1" x14ac:dyDescent="0.35">
      <c r="A25" s="6" t="s">
        <v>7</v>
      </c>
      <c r="B25" s="3" t="s">
        <v>167</v>
      </c>
      <c r="C25" s="22">
        <v>45</v>
      </c>
      <c r="D25" s="4">
        <v>45738</v>
      </c>
      <c r="E25" s="3" t="s">
        <v>280</v>
      </c>
      <c r="F25" s="7" t="s">
        <v>168</v>
      </c>
    </row>
    <row r="26" spans="1:6" ht="15" thickBot="1" x14ac:dyDescent="0.35">
      <c r="A26" s="6" t="s">
        <v>180</v>
      </c>
      <c r="B26" s="3" t="s">
        <v>171</v>
      </c>
      <c r="C26" s="22">
        <v>75</v>
      </c>
      <c r="D26" s="4">
        <v>45742</v>
      </c>
      <c r="E26" s="3" t="s">
        <v>280</v>
      </c>
      <c r="F26" s="7" t="s">
        <v>168</v>
      </c>
    </row>
    <row r="27" spans="1:6" ht="15" thickBot="1" x14ac:dyDescent="0.35">
      <c r="A27" s="6" t="s">
        <v>181</v>
      </c>
      <c r="B27" s="3" t="s">
        <v>170</v>
      </c>
      <c r="C27" s="22">
        <v>0</v>
      </c>
      <c r="D27" s="4">
        <v>45745</v>
      </c>
      <c r="E27" s="3" t="s">
        <v>280</v>
      </c>
      <c r="F27" s="7" t="s">
        <v>168</v>
      </c>
    </row>
    <row r="28" spans="1:6" ht="15" thickBot="1" x14ac:dyDescent="0.35">
      <c r="A28" s="6" t="s">
        <v>66</v>
      </c>
      <c r="B28" s="3" t="s">
        <v>167</v>
      </c>
      <c r="C28" s="22">
        <v>45</v>
      </c>
      <c r="D28" s="4">
        <v>45749</v>
      </c>
      <c r="E28" s="3" t="s">
        <v>285</v>
      </c>
      <c r="F28" s="7" t="s">
        <v>182</v>
      </c>
    </row>
    <row r="29" spans="1:6" ht="15" thickBot="1" x14ac:dyDescent="0.35">
      <c r="A29" s="6" t="s">
        <v>183</v>
      </c>
      <c r="B29" s="3" t="s">
        <v>169</v>
      </c>
      <c r="C29" s="22">
        <v>50</v>
      </c>
      <c r="D29" s="4">
        <v>45752</v>
      </c>
      <c r="E29" s="3" t="s">
        <v>285</v>
      </c>
      <c r="F29" s="7" t="s">
        <v>182</v>
      </c>
    </row>
    <row r="30" spans="1:6" ht="15" thickBot="1" x14ac:dyDescent="0.35">
      <c r="A30" s="6" t="s">
        <v>118</v>
      </c>
      <c r="B30" s="3" t="s">
        <v>171</v>
      </c>
      <c r="C30" s="22">
        <v>75</v>
      </c>
      <c r="D30" s="4">
        <v>45756</v>
      </c>
      <c r="E30" s="3" t="s">
        <v>285</v>
      </c>
      <c r="F30" s="7" t="s">
        <v>182</v>
      </c>
    </row>
    <row r="31" spans="1:6" ht="15" thickBot="1" x14ac:dyDescent="0.35">
      <c r="A31" s="6" t="s">
        <v>184</v>
      </c>
      <c r="B31" s="3" t="s">
        <v>170</v>
      </c>
      <c r="C31" s="22">
        <v>0</v>
      </c>
      <c r="D31" s="4">
        <v>45759</v>
      </c>
      <c r="E31" s="3" t="s">
        <v>285</v>
      </c>
      <c r="F31" s="7" t="s">
        <v>182</v>
      </c>
    </row>
    <row r="32" spans="1:6" ht="15" thickBot="1" x14ac:dyDescent="0.35">
      <c r="A32" s="6" t="s">
        <v>32</v>
      </c>
      <c r="B32" s="3" t="s">
        <v>167</v>
      </c>
      <c r="C32" s="22">
        <v>45</v>
      </c>
      <c r="D32" s="4">
        <v>45763</v>
      </c>
      <c r="E32" s="3" t="s">
        <v>285</v>
      </c>
      <c r="F32" s="7" t="s">
        <v>182</v>
      </c>
    </row>
    <row r="33" spans="1:6" ht="15" thickBot="1" x14ac:dyDescent="0.35">
      <c r="A33" s="6" t="s">
        <v>185</v>
      </c>
      <c r="B33" s="3" t="s">
        <v>169</v>
      </c>
      <c r="C33" s="22">
        <v>50</v>
      </c>
      <c r="D33" s="4">
        <v>45767</v>
      </c>
      <c r="E33" s="3" t="s">
        <v>285</v>
      </c>
      <c r="F33" s="7" t="s">
        <v>182</v>
      </c>
    </row>
    <row r="34" spans="1:6" ht="15" thickBot="1" x14ac:dyDescent="0.35">
      <c r="A34" s="6" t="s">
        <v>78</v>
      </c>
      <c r="B34" s="3" t="s">
        <v>167</v>
      </c>
      <c r="C34" s="22">
        <v>45</v>
      </c>
      <c r="D34" s="4">
        <v>45771</v>
      </c>
      <c r="E34" s="3" t="s">
        <v>285</v>
      </c>
      <c r="F34" s="7" t="s">
        <v>182</v>
      </c>
    </row>
    <row r="35" spans="1:6" ht="15" thickBot="1" x14ac:dyDescent="0.35">
      <c r="A35" s="6" t="s">
        <v>186</v>
      </c>
      <c r="B35" s="3" t="s">
        <v>171</v>
      </c>
      <c r="C35" s="22">
        <v>75</v>
      </c>
      <c r="D35" s="4">
        <v>45774</v>
      </c>
      <c r="E35" s="3" t="s">
        <v>285</v>
      </c>
      <c r="F35" s="7" t="s">
        <v>182</v>
      </c>
    </row>
    <row r="36" spans="1:6" ht="15" thickBot="1" x14ac:dyDescent="0.35">
      <c r="A36" s="6" t="s">
        <v>124</v>
      </c>
      <c r="B36" s="3" t="s">
        <v>170</v>
      </c>
      <c r="C36" s="22">
        <v>0</v>
      </c>
      <c r="D36" s="4">
        <v>45777</v>
      </c>
      <c r="E36" s="3" t="s">
        <v>285</v>
      </c>
      <c r="F36" s="7" t="s">
        <v>182</v>
      </c>
    </row>
    <row r="37" spans="1:6" ht="15" thickBot="1" x14ac:dyDescent="0.35">
      <c r="A37" s="6" t="s">
        <v>187</v>
      </c>
      <c r="B37" s="3" t="s">
        <v>169</v>
      </c>
      <c r="C37" s="22">
        <v>50</v>
      </c>
      <c r="D37" s="4">
        <v>45781</v>
      </c>
      <c r="E37" s="3" t="s">
        <v>287</v>
      </c>
      <c r="F37" s="7" t="s">
        <v>182</v>
      </c>
    </row>
    <row r="38" spans="1:6" ht="15" thickBot="1" x14ac:dyDescent="0.35">
      <c r="A38" s="6" t="s">
        <v>48</v>
      </c>
      <c r="B38" s="3" t="s">
        <v>167</v>
      </c>
      <c r="C38" s="22">
        <v>45</v>
      </c>
      <c r="D38" s="4">
        <v>45785</v>
      </c>
      <c r="E38" s="3" t="s">
        <v>287</v>
      </c>
      <c r="F38" s="7" t="s">
        <v>182</v>
      </c>
    </row>
    <row r="39" spans="1:6" ht="15" thickBot="1" x14ac:dyDescent="0.35">
      <c r="A39" s="6" t="s">
        <v>188</v>
      </c>
      <c r="B39" s="3" t="s">
        <v>171</v>
      </c>
      <c r="C39" s="22">
        <v>75</v>
      </c>
      <c r="D39" s="4">
        <v>45789</v>
      </c>
      <c r="E39" s="3" t="s">
        <v>287</v>
      </c>
      <c r="F39" s="7" t="s">
        <v>182</v>
      </c>
    </row>
    <row r="40" spans="1:6" ht="15" thickBot="1" x14ac:dyDescent="0.35">
      <c r="A40" s="6" t="s">
        <v>95</v>
      </c>
      <c r="B40" s="3" t="s">
        <v>170</v>
      </c>
      <c r="C40" s="22">
        <v>0</v>
      </c>
      <c r="D40" s="4">
        <v>45793</v>
      </c>
      <c r="E40" s="3" t="s">
        <v>287</v>
      </c>
      <c r="F40" s="7" t="s">
        <v>182</v>
      </c>
    </row>
    <row r="41" spans="1:6" ht="15" thickBot="1" x14ac:dyDescent="0.35">
      <c r="A41" s="6" t="s">
        <v>189</v>
      </c>
      <c r="B41" s="3" t="s">
        <v>169</v>
      </c>
      <c r="C41" s="22">
        <v>50</v>
      </c>
      <c r="D41" s="4">
        <v>45797</v>
      </c>
      <c r="E41" s="3" t="s">
        <v>287</v>
      </c>
      <c r="F41" s="7" t="s">
        <v>182</v>
      </c>
    </row>
    <row r="42" spans="1:6" ht="15" thickBot="1" x14ac:dyDescent="0.35">
      <c r="A42" s="6" t="s">
        <v>59</v>
      </c>
      <c r="B42" s="3" t="s">
        <v>167</v>
      </c>
      <c r="C42" s="22">
        <v>45</v>
      </c>
      <c r="D42" s="4">
        <v>45801</v>
      </c>
      <c r="E42" s="3" t="s">
        <v>287</v>
      </c>
      <c r="F42" s="7" t="s">
        <v>182</v>
      </c>
    </row>
    <row r="43" spans="1:6" ht="15" thickBot="1" x14ac:dyDescent="0.35">
      <c r="A43" s="6" t="s">
        <v>190</v>
      </c>
      <c r="B43" s="3" t="s">
        <v>171</v>
      </c>
      <c r="C43" s="22">
        <v>75</v>
      </c>
      <c r="D43" s="4">
        <v>45805</v>
      </c>
      <c r="E43" s="3" t="s">
        <v>287</v>
      </c>
      <c r="F43" s="7" t="s">
        <v>182</v>
      </c>
    </row>
    <row r="44" spans="1:6" ht="15" thickBot="1" x14ac:dyDescent="0.35">
      <c r="A44" s="6" t="s">
        <v>191</v>
      </c>
      <c r="B44" s="3" t="s">
        <v>170</v>
      </c>
      <c r="C44" s="22">
        <v>0</v>
      </c>
      <c r="D44" s="4">
        <v>45808</v>
      </c>
      <c r="E44" s="3" t="s">
        <v>287</v>
      </c>
      <c r="F44" s="7" t="s">
        <v>182</v>
      </c>
    </row>
    <row r="45" spans="1:6" ht="15" thickBot="1" x14ac:dyDescent="0.35">
      <c r="A45" s="6" t="s">
        <v>23</v>
      </c>
      <c r="B45" s="3" t="s">
        <v>167</v>
      </c>
      <c r="C45" s="22">
        <v>45</v>
      </c>
      <c r="D45" s="4">
        <v>45811</v>
      </c>
      <c r="E45" s="3" t="s">
        <v>288</v>
      </c>
      <c r="F45" s="7" t="s">
        <v>182</v>
      </c>
    </row>
    <row r="46" spans="1:6" ht="15" thickBot="1" x14ac:dyDescent="0.35">
      <c r="A46" s="6" t="s">
        <v>192</v>
      </c>
      <c r="B46" s="3" t="s">
        <v>169</v>
      </c>
      <c r="C46" s="22">
        <v>50</v>
      </c>
      <c r="D46" s="4">
        <v>45815</v>
      </c>
      <c r="E46" s="3" t="s">
        <v>288</v>
      </c>
      <c r="F46" s="7" t="s">
        <v>182</v>
      </c>
    </row>
    <row r="47" spans="1:6" ht="15" thickBot="1" x14ac:dyDescent="0.35">
      <c r="A47" s="6" t="s">
        <v>193</v>
      </c>
      <c r="B47" s="3" t="s">
        <v>171</v>
      </c>
      <c r="C47" s="22">
        <v>75</v>
      </c>
      <c r="D47" s="4">
        <v>45819</v>
      </c>
      <c r="E47" s="3" t="s">
        <v>288</v>
      </c>
      <c r="F47" s="7" t="s">
        <v>182</v>
      </c>
    </row>
    <row r="48" spans="1:6" ht="15" thickBot="1" x14ac:dyDescent="0.35">
      <c r="A48" s="6" t="s">
        <v>194</v>
      </c>
      <c r="B48" s="3" t="s">
        <v>167</v>
      </c>
      <c r="C48" s="22">
        <v>45</v>
      </c>
      <c r="D48" s="4">
        <v>45823</v>
      </c>
      <c r="E48" s="3" t="s">
        <v>288</v>
      </c>
      <c r="F48" s="7" t="s">
        <v>182</v>
      </c>
    </row>
    <row r="49" spans="1:6" ht="15" thickBot="1" x14ac:dyDescent="0.35">
      <c r="A49" s="6" t="s">
        <v>195</v>
      </c>
      <c r="B49" s="3" t="s">
        <v>170</v>
      </c>
      <c r="C49" s="22">
        <v>0</v>
      </c>
      <c r="D49" s="4">
        <v>45827</v>
      </c>
      <c r="E49" s="3" t="s">
        <v>288</v>
      </c>
      <c r="F49" s="7" t="s">
        <v>182</v>
      </c>
    </row>
    <row r="50" spans="1:6" ht="15" thickBot="1" x14ac:dyDescent="0.35">
      <c r="A50" s="6" t="s">
        <v>196</v>
      </c>
      <c r="B50" s="3" t="s">
        <v>169</v>
      </c>
      <c r="C50" s="22">
        <v>50</v>
      </c>
      <c r="D50" s="4">
        <v>45830</v>
      </c>
      <c r="E50" s="3" t="s">
        <v>288</v>
      </c>
      <c r="F50" s="7" t="s">
        <v>182</v>
      </c>
    </row>
    <row r="51" spans="1:6" ht="15" thickBot="1" x14ac:dyDescent="0.35">
      <c r="A51" s="6" t="s">
        <v>36</v>
      </c>
      <c r="B51" s="3" t="s">
        <v>167</v>
      </c>
      <c r="C51" s="22">
        <v>45</v>
      </c>
      <c r="D51" s="4">
        <v>45834</v>
      </c>
      <c r="E51" s="3" t="s">
        <v>288</v>
      </c>
      <c r="F51" s="7" t="s">
        <v>182</v>
      </c>
    </row>
    <row r="52" spans="1:6" ht="15" thickBot="1" x14ac:dyDescent="0.35">
      <c r="A52" s="6" t="s">
        <v>110</v>
      </c>
      <c r="B52" s="3" t="s">
        <v>171</v>
      </c>
      <c r="C52" s="22">
        <v>75</v>
      </c>
      <c r="D52" s="4">
        <v>45837</v>
      </c>
      <c r="E52" s="3" t="s">
        <v>288</v>
      </c>
      <c r="F52" s="7" t="s">
        <v>182</v>
      </c>
    </row>
    <row r="53" spans="1:6" ht="15" thickBot="1" x14ac:dyDescent="0.35">
      <c r="A53" s="6" t="s">
        <v>198</v>
      </c>
      <c r="B53" s="3" t="s">
        <v>169</v>
      </c>
      <c r="C53" s="22">
        <v>50</v>
      </c>
      <c r="D53" s="4">
        <v>45840</v>
      </c>
      <c r="E53" s="3" t="s">
        <v>289</v>
      </c>
      <c r="F53" s="7" t="s">
        <v>197</v>
      </c>
    </row>
    <row r="54" spans="1:6" ht="15" thickBot="1" x14ac:dyDescent="0.35">
      <c r="A54" s="6" t="s">
        <v>64</v>
      </c>
      <c r="B54" s="3" t="s">
        <v>167</v>
      </c>
      <c r="C54" s="22">
        <v>45</v>
      </c>
      <c r="D54" s="4">
        <v>45844</v>
      </c>
      <c r="E54" s="3" t="s">
        <v>289</v>
      </c>
      <c r="F54" s="7" t="s">
        <v>197</v>
      </c>
    </row>
    <row r="55" spans="1:6" ht="15" thickBot="1" x14ac:dyDescent="0.35">
      <c r="A55" s="6" t="s">
        <v>199</v>
      </c>
      <c r="B55" s="3" t="s">
        <v>170</v>
      </c>
      <c r="C55" s="22">
        <v>0</v>
      </c>
      <c r="D55" s="4">
        <v>45848</v>
      </c>
      <c r="E55" s="3" t="s">
        <v>289</v>
      </c>
      <c r="F55" s="7" t="s">
        <v>197</v>
      </c>
    </row>
    <row r="56" spans="1:6" ht="15" thickBot="1" x14ac:dyDescent="0.35">
      <c r="A56" s="6" t="s">
        <v>16</v>
      </c>
      <c r="B56" s="3" t="s">
        <v>171</v>
      </c>
      <c r="C56" s="22">
        <v>75</v>
      </c>
      <c r="D56" s="4">
        <v>45852</v>
      </c>
      <c r="E56" s="3" t="s">
        <v>289</v>
      </c>
      <c r="F56" s="7" t="s">
        <v>197</v>
      </c>
    </row>
    <row r="57" spans="1:6" ht="15" thickBot="1" x14ac:dyDescent="0.35">
      <c r="A57" s="6" t="s">
        <v>200</v>
      </c>
      <c r="B57" s="3" t="s">
        <v>169</v>
      </c>
      <c r="C57" s="22">
        <v>50</v>
      </c>
      <c r="D57" s="4">
        <v>45856</v>
      </c>
      <c r="E57" s="3" t="s">
        <v>289</v>
      </c>
      <c r="F57" s="7" t="s">
        <v>197</v>
      </c>
    </row>
    <row r="58" spans="1:6" ht="15" thickBot="1" x14ac:dyDescent="0.35">
      <c r="A58" s="6" t="s">
        <v>93</v>
      </c>
      <c r="B58" s="3" t="s">
        <v>167</v>
      </c>
      <c r="C58" s="22">
        <v>45</v>
      </c>
      <c r="D58" s="4">
        <v>45860</v>
      </c>
      <c r="E58" s="3" t="s">
        <v>289</v>
      </c>
      <c r="F58" s="7" t="s">
        <v>197</v>
      </c>
    </row>
    <row r="59" spans="1:6" ht="15" thickBot="1" x14ac:dyDescent="0.35">
      <c r="A59" s="6" t="s">
        <v>201</v>
      </c>
      <c r="B59" s="3" t="s">
        <v>170</v>
      </c>
      <c r="C59" s="22">
        <v>0</v>
      </c>
      <c r="D59" s="4">
        <v>45864</v>
      </c>
      <c r="E59" s="3" t="s">
        <v>289</v>
      </c>
      <c r="F59" s="7" t="s">
        <v>197</v>
      </c>
    </row>
    <row r="60" spans="1:6" ht="15" thickBot="1" x14ac:dyDescent="0.35">
      <c r="A60" s="6" t="s">
        <v>126</v>
      </c>
      <c r="B60" s="3" t="s">
        <v>169</v>
      </c>
      <c r="C60" s="22">
        <v>50</v>
      </c>
      <c r="D60" s="4">
        <v>45868</v>
      </c>
      <c r="E60" s="3" t="s">
        <v>289</v>
      </c>
      <c r="F60" s="7" t="s">
        <v>197</v>
      </c>
    </row>
    <row r="61" spans="1:6" ht="15" thickBot="1" x14ac:dyDescent="0.35">
      <c r="A61" s="6" t="s">
        <v>202</v>
      </c>
      <c r="B61" s="3" t="s">
        <v>167</v>
      </c>
      <c r="C61" s="22">
        <v>45</v>
      </c>
      <c r="D61" s="4">
        <v>45873</v>
      </c>
      <c r="E61" s="3" t="s">
        <v>290</v>
      </c>
      <c r="F61" s="7" t="s">
        <v>197</v>
      </c>
    </row>
    <row r="62" spans="1:6" ht="15" thickBot="1" x14ac:dyDescent="0.35">
      <c r="A62" s="6" t="s">
        <v>72</v>
      </c>
      <c r="B62" s="3" t="s">
        <v>171</v>
      </c>
      <c r="C62" s="22">
        <v>75</v>
      </c>
      <c r="D62" s="4">
        <v>45877</v>
      </c>
      <c r="E62" s="3" t="s">
        <v>290</v>
      </c>
      <c r="F62" s="7" t="s">
        <v>197</v>
      </c>
    </row>
    <row r="63" spans="1:6" ht="15" thickBot="1" x14ac:dyDescent="0.35">
      <c r="A63" s="6" t="s">
        <v>29</v>
      </c>
      <c r="B63" s="3" t="s">
        <v>170</v>
      </c>
      <c r="C63" s="22">
        <v>0</v>
      </c>
      <c r="D63" s="4">
        <v>45881</v>
      </c>
      <c r="E63" s="3" t="s">
        <v>290</v>
      </c>
      <c r="F63" s="7" t="s">
        <v>197</v>
      </c>
    </row>
    <row r="64" spans="1:6" ht="15" thickBot="1" x14ac:dyDescent="0.35">
      <c r="A64" s="6" t="s">
        <v>203</v>
      </c>
      <c r="B64" s="3" t="s">
        <v>171</v>
      </c>
      <c r="C64" s="22">
        <v>75</v>
      </c>
      <c r="D64" s="4">
        <v>45885</v>
      </c>
      <c r="E64" s="3" t="s">
        <v>290</v>
      </c>
      <c r="F64" s="7" t="s">
        <v>197</v>
      </c>
    </row>
    <row r="65" spans="1:6" ht="15" thickBot="1" x14ac:dyDescent="0.35">
      <c r="A65" s="6" t="s">
        <v>104</v>
      </c>
      <c r="B65" s="3" t="s">
        <v>169</v>
      </c>
      <c r="C65" s="22">
        <v>50</v>
      </c>
      <c r="D65" s="4">
        <v>45889</v>
      </c>
      <c r="E65" s="3" t="s">
        <v>290</v>
      </c>
      <c r="F65" s="7" t="s">
        <v>197</v>
      </c>
    </row>
    <row r="66" spans="1:6" ht="15" thickBot="1" x14ac:dyDescent="0.35">
      <c r="A66" s="6" t="s">
        <v>204</v>
      </c>
      <c r="B66" s="3" t="s">
        <v>167</v>
      </c>
      <c r="C66" s="22">
        <v>45</v>
      </c>
      <c r="D66" s="4">
        <v>45893</v>
      </c>
      <c r="E66" s="3" t="s">
        <v>290</v>
      </c>
      <c r="F66" s="7" t="s">
        <v>197</v>
      </c>
    </row>
    <row r="67" spans="1:6" ht="15" thickBot="1" x14ac:dyDescent="0.35">
      <c r="A67" s="6" t="s">
        <v>54</v>
      </c>
      <c r="B67" s="3" t="s">
        <v>170</v>
      </c>
      <c r="C67" s="22">
        <v>0</v>
      </c>
      <c r="D67" s="4">
        <v>45897</v>
      </c>
      <c r="E67" s="3" t="s">
        <v>290</v>
      </c>
      <c r="F67" s="7" t="s">
        <v>197</v>
      </c>
    </row>
    <row r="68" spans="1:6" ht="15" thickBot="1" x14ac:dyDescent="0.35">
      <c r="A68" s="6" t="s">
        <v>205</v>
      </c>
      <c r="B68" s="3" t="s">
        <v>169</v>
      </c>
      <c r="C68" s="22">
        <v>50</v>
      </c>
      <c r="D68" s="4">
        <v>45902</v>
      </c>
      <c r="E68" s="3" t="s">
        <v>291</v>
      </c>
      <c r="F68" s="7" t="s">
        <v>197</v>
      </c>
    </row>
    <row r="69" spans="1:6" ht="15" thickBot="1" x14ac:dyDescent="0.35">
      <c r="A69" s="6" t="s">
        <v>86</v>
      </c>
      <c r="B69" s="3" t="s">
        <v>171</v>
      </c>
      <c r="C69" s="22">
        <v>75</v>
      </c>
      <c r="D69" s="4">
        <v>45905</v>
      </c>
      <c r="E69" s="3" t="s">
        <v>291</v>
      </c>
      <c r="F69" s="7" t="s">
        <v>197</v>
      </c>
    </row>
    <row r="70" spans="1:6" ht="15" thickBot="1" x14ac:dyDescent="0.35">
      <c r="A70" s="6" t="s">
        <v>206</v>
      </c>
      <c r="B70" s="3" t="s">
        <v>167</v>
      </c>
      <c r="C70" s="22">
        <v>45</v>
      </c>
      <c r="D70" s="4">
        <v>45909</v>
      </c>
      <c r="E70" s="3" t="s">
        <v>291</v>
      </c>
      <c r="F70" s="7" t="s">
        <v>197</v>
      </c>
    </row>
    <row r="71" spans="1:6" ht="15" thickBot="1" x14ac:dyDescent="0.35">
      <c r="A71" s="6" t="s">
        <v>68</v>
      </c>
      <c r="B71" s="3" t="s">
        <v>170</v>
      </c>
      <c r="C71" s="22">
        <v>0</v>
      </c>
      <c r="D71" s="4">
        <v>45912</v>
      </c>
      <c r="E71" s="3" t="s">
        <v>291</v>
      </c>
      <c r="F71" s="7" t="s">
        <v>197</v>
      </c>
    </row>
    <row r="72" spans="1:6" ht="15" thickBot="1" x14ac:dyDescent="0.35">
      <c r="A72" s="6" t="s">
        <v>100</v>
      </c>
      <c r="B72" s="3" t="s">
        <v>169</v>
      </c>
      <c r="C72" s="22">
        <v>50</v>
      </c>
      <c r="D72" s="4">
        <v>45916</v>
      </c>
      <c r="E72" s="3" t="s">
        <v>291</v>
      </c>
      <c r="F72" s="7" t="s">
        <v>197</v>
      </c>
    </row>
    <row r="73" spans="1:6" ht="15" thickBot="1" x14ac:dyDescent="0.35">
      <c r="A73" s="6" t="s">
        <v>207</v>
      </c>
      <c r="B73" s="3" t="s">
        <v>167</v>
      </c>
      <c r="C73" s="22">
        <v>45</v>
      </c>
      <c r="D73" s="4">
        <v>45920</v>
      </c>
      <c r="E73" s="3" t="s">
        <v>291</v>
      </c>
      <c r="F73" s="7" t="s">
        <v>197</v>
      </c>
    </row>
    <row r="74" spans="1:6" ht="15" thickBot="1" x14ac:dyDescent="0.35">
      <c r="A74" s="6" t="s">
        <v>25</v>
      </c>
      <c r="B74" s="3" t="s">
        <v>171</v>
      </c>
      <c r="C74" s="22">
        <v>75</v>
      </c>
      <c r="D74" s="4">
        <v>45924</v>
      </c>
      <c r="E74" s="3" t="s">
        <v>291</v>
      </c>
      <c r="F74" s="7" t="s">
        <v>197</v>
      </c>
    </row>
    <row r="75" spans="1:6" ht="15" thickBot="1" x14ac:dyDescent="0.35">
      <c r="A75" s="6" t="s">
        <v>208</v>
      </c>
      <c r="B75" s="3" t="s">
        <v>169</v>
      </c>
      <c r="C75" s="22">
        <v>50</v>
      </c>
      <c r="D75" s="4">
        <v>45928</v>
      </c>
      <c r="E75" s="3" t="s">
        <v>291</v>
      </c>
      <c r="F75" s="7" t="s">
        <v>197</v>
      </c>
    </row>
    <row r="76" spans="1:6" ht="15" thickBot="1" x14ac:dyDescent="0.35">
      <c r="A76" s="6" t="s">
        <v>116</v>
      </c>
      <c r="B76" s="3" t="s">
        <v>167</v>
      </c>
      <c r="C76" s="22">
        <v>45</v>
      </c>
      <c r="D76" s="4">
        <v>45932</v>
      </c>
      <c r="E76" s="3" t="s">
        <v>292</v>
      </c>
      <c r="F76" s="7" t="s">
        <v>209</v>
      </c>
    </row>
    <row r="77" spans="1:6" ht="15" thickBot="1" x14ac:dyDescent="0.35">
      <c r="A77" s="6" t="s">
        <v>210</v>
      </c>
      <c r="B77" s="3" t="s">
        <v>170</v>
      </c>
      <c r="C77" s="22">
        <v>0</v>
      </c>
      <c r="D77" s="4">
        <v>45936</v>
      </c>
      <c r="E77" s="3" t="s">
        <v>292</v>
      </c>
      <c r="F77" s="7" t="s">
        <v>209</v>
      </c>
    </row>
    <row r="78" spans="1:6" ht="15" thickBot="1" x14ac:dyDescent="0.35">
      <c r="A78" s="6" t="s">
        <v>40</v>
      </c>
      <c r="B78" s="3" t="s">
        <v>171</v>
      </c>
      <c r="C78" s="22">
        <v>75</v>
      </c>
      <c r="D78" s="4">
        <v>45940</v>
      </c>
      <c r="E78" s="3" t="s">
        <v>292</v>
      </c>
      <c r="F78" s="7" t="s">
        <v>209</v>
      </c>
    </row>
    <row r="79" spans="1:6" ht="15" thickBot="1" x14ac:dyDescent="0.35">
      <c r="A79" s="6" t="s">
        <v>211</v>
      </c>
      <c r="B79" s="3" t="s">
        <v>169</v>
      </c>
      <c r="C79" s="22">
        <v>50</v>
      </c>
      <c r="D79" s="4">
        <v>45944</v>
      </c>
      <c r="E79" s="3" t="s">
        <v>292</v>
      </c>
      <c r="F79" s="7" t="s">
        <v>209</v>
      </c>
    </row>
    <row r="80" spans="1:6" ht="15" thickBot="1" x14ac:dyDescent="0.35">
      <c r="A80" s="6" t="s">
        <v>83</v>
      </c>
      <c r="B80" s="3" t="s">
        <v>167</v>
      </c>
      <c r="C80" s="22">
        <v>45</v>
      </c>
      <c r="D80" s="4">
        <v>45948</v>
      </c>
      <c r="E80" s="3" t="s">
        <v>292</v>
      </c>
      <c r="F80" s="7" t="s">
        <v>209</v>
      </c>
    </row>
    <row r="81" spans="1:6" ht="15" thickBot="1" x14ac:dyDescent="0.35">
      <c r="A81" s="6" t="s">
        <v>212</v>
      </c>
      <c r="B81" s="3" t="s">
        <v>170</v>
      </c>
      <c r="C81" s="22">
        <v>0</v>
      </c>
      <c r="D81" s="4">
        <v>45952</v>
      </c>
      <c r="E81" s="3" t="s">
        <v>292</v>
      </c>
      <c r="F81" s="7" t="s">
        <v>209</v>
      </c>
    </row>
    <row r="82" spans="1:6" ht="15" thickBot="1" x14ac:dyDescent="0.35">
      <c r="A82" s="6" t="s">
        <v>50</v>
      </c>
      <c r="B82" s="3" t="s">
        <v>169</v>
      </c>
      <c r="C82" s="22">
        <v>50</v>
      </c>
      <c r="D82" s="4">
        <v>45956</v>
      </c>
      <c r="E82" s="3" t="s">
        <v>292</v>
      </c>
      <c r="F82" s="7" t="s">
        <v>209</v>
      </c>
    </row>
    <row r="83" spans="1:6" ht="15" thickBot="1" x14ac:dyDescent="0.35">
      <c r="A83" s="6" t="s">
        <v>122</v>
      </c>
      <c r="B83" s="3" t="s">
        <v>167</v>
      </c>
      <c r="C83" s="22">
        <v>45</v>
      </c>
      <c r="D83" s="4">
        <v>45960</v>
      </c>
      <c r="E83" s="3" t="s">
        <v>292</v>
      </c>
      <c r="F83" s="7" t="s">
        <v>209</v>
      </c>
    </row>
    <row r="84" spans="1:6" ht="15" thickBot="1" x14ac:dyDescent="0.35">
      <c r="A84" s="6" t="s">
        <v>76</v>
      </c>
      <c r="B84" s="3" t="s">
        <v>171</v>
      </c>
      <c r="C84" s="22">
        <v>75</v>
      </c>
      <c r="D84" s="4">
        <v>45964</v>
      </c>
      <c r="E84" s="3" t="s">
        <v>293</v>
      </c>
      <c r="F84" s="7" t="s">
        <v>209</v>
      </c>
    </row>
    <row r="85" spans="1:6" ht="15" thickBot="1" x14ac:dyDescent="0.35">
      <c r="A85" s="6" t="s">
        <v>213</v>
      </c>
      <c r="B85" s="3" t="s">
        <v>169</v>
      </c>
      <c r="C85" s="22">
        <v>50</v>
      </c>
      <c r="D85" s="4">
        <v>45968</v>
      </c>
      <c r="E85" s="3" t="s">
        <v>293</v>
      </c>
      <c r="F85" s="7" t="s">
        <v>209</v>
      </c>
    </row>
    <row r="86" spans="1:6" ht="15" thickBot="1" x14ac:dyDescent="0.35">
      <c r="A86" s="6" t="s">
        <v>10</v>
      </c>
      <c r="B86" s="3" t="s">
        <v>170</v>
      </c>
      <c r="C86" s="22">
        <v>0</v>
      </c>
      <c r="D86" s="4">
        <v>45972</v>
      </c>
      <c r="E86" s="3" t="s">
        <v>293</v>
      </c>
      <c r="F86" s="7" t="s">
        <v>209</v>
      </c>
    </row>
    <row r="87" spans="1:6" ht="15" thickBot="1" x14ac:dyDescent="0.35">
      <c r="A87" s="6" t="s">
        <v>214</v>
      </c>
      <c r="B87" s="3" t="s">
        <v>167</v>
      </c>
      <c r="C87" s="22">
        <v>45</v>
      </c>
      <c r="D87" s="4">
        <v>45976</v>
      </c>
      <c r="E87" s="3" t="s">
        <v>293</v>
      </c>
      <c r="F87" s="7" t="s">
        <v>209</v>
      </c>
    </row>
    <row r="88" spans="1:6" ht="15" thickBot="1" x14ac:dyDescent="0.35">
      <c r="A88" s="6" t="s">
        <v>215</v>
      </c>
      <c r="B88" s="3" t="s">
        <v>171</v>
      </c>
      <c r="C88" s="22">
        <v>75</v>
      </c>
      <c r="D88" s="4">
        <v>45980</v>
      </c>
      <c r="E88" s="3" t="s">
        <v>293</v>
      </c>
      <c r="F88" s="7" t="s">
        <v>209</v>
      </c>
    </row>
    <row r="89" spans="1:6" ht="15" thickBot="1" x14ac:dyDescent="0.35">
      <c r="A89" s="6" t="s">
        <v>113</v>
      </c>
      <c r="B89" s="3" t="s">
        <v>169</v>
      </c>
      <c r="C89" s="22">
        <v>50</v>
      </c>
      <c r="D89" s="4">
        <v>45984</v>
      </c>
      <c r="E89" s="3" t="s">
        <v>293</v>
      </c>
      <c r="F89" s="7" t="s">
        <v>209</v>
      </c>
    </row>
    <row r="90" spans="1:6" ht="15" thickBot="1" x14ac:dyDescent="0.35">
      <c r="A90" s="6" t="s">
        <v>61</v>
      </c>
      <c r="B90" s="3" t="s">
        <v>167</v>
      </c>
      <c r="C90" s="22">
        <v>45</v>
      </c>
      <c r="D90" s="4">
        <v>45988</v>
      </c>
      <c r="E90" s="3" t="s">
        <v>293</v>
      </c>
      <c r="F90" s="7" t="s">
        <v>209</v>
      </c>
    </row>
    <row r="91" spans="1:6" ht="15" thickBot="1" x14ac:dyDescent="0.35">
      <c r="A91" s="6" t="s">
        <v>132</v>
      </c>
      <c r="B91" s="3" t="s">
        <v>170</v>
      </c>
      <c r="C91" s="22">
        <v>0</v>
      </c>
      <c r="D91" s="4">
        <v>45991</v>
      </c>
      <c r="E91" s="3" t="s">
        <v>293</v>
      </c>
      <c r="F91" s="7" t="s">
        <v>209</v>
      </c>
    </row>
    <row r="92" spans="1:6" ht="15" thickBot="1" x14ac:dyDescent="0.35">
      <c r="A92" s="6" t="s">
        <v>21</v>
      </c>
      <c r="B92" s="3" t="s">
        <v>169</v>
      </c>
      <c r="C92" s="22">
        <v>50</v>
      </c>
      <c r="D92" s="4">
        <v>45994</v>
      </c>
      <c r="E92" s="3" t="s">
        <v>294</v>
      </c>
      <c r="F92" s="7" t="s">
        <v>209</v>
      </c>
    </row>
    <row r="93" spans="1:6" ht="15" thickBot="1" x14ac:dyDescent="0.35">
      <c r="A93" s="6" t="s">
        <v>90</v>
      </c>
      <c r="B93" s="3" t="s">
        <v>167</v>
      </c>
      <c r="C93" s="22">
        <v>45</v>
      </c>
      <c r="D93" s="4">
        <v>45998</v>
      </c>
      <c r="E93" s="3" t="s">
        <v>294</v>
      </c>
      <c r="F93" s="7" t="s">
        <v>209</v>
      </c>
    </row>
    <row r="94" spans="1:6" ht="15" thickBot="1" x14ac:dyDescent="0.35">
      <c r="A94" s="6" t="s">
        <v>216</v>
      </c>
      <c r="B94" s="3" t="s">
        <v>171</v>
      </c>
      <c r="C94" s="22">
        <v>75</v>
      </c>
      <c r="D94" s="4">
        <v>46002</v>
      </c>
      <c r="E94" s="3" t="s">
        <v>294</v>
      </c>
      <c r="F94" s="7" t="s">
        <v>209</v>
      </c>
    </row>
    <row r="95" spans="1:6" ht="15" thickBot="1" x14ac:dyDescent="0.35">
      <c r="A95" s="6" t="s">
        <v>44</v>
      </c>
      <c r="B95" s="3" t="s">
        <v>170</v>
      </c>
      <c r="C95" s="22">
        <v>0</v>
      </c>
      <c r="D95" s="4">
        <v>46006</v>
      </c>
      <c r="E95" s="3" t="s">
        <v>294</v>
      </c>
      <c r="F95" s="7" t="s">
        <v>209</v>
      </c>
    </row>
    <row r="96" spans="1:6" ht="15" thickBot="1" x14ac:dyDescent="0.35">
      <c r="A96" s="6" t="s">
        <v>217</v>
      </c>
      <c r="B96" s="3" t="s">
        <v>169</v>
      </c>
      <c r="C96" s="22">
        <v>50</v>
      </c>
      <c r="D96" s="4">
        <v>46010</v>
      </c>
      <c r="E96" s="3" t="s">
        <v>294</v>
      </c>
      <c r="F96" s="7" t="s">
        <v>209</v>
      </c>
    </row>
    <row r="97" spans="1:6" ht="15" thickBot="1" x14ac:dyDescent="0.35">
      <c r="A97" s="6" t="s">
        <v>218</v>
      </c>
      <c r="B97" s="3" t="s">
        <v>167</v>
      </c>
      <c r="C97" s="22">
        <v>45</v>
      </c>
      <c r="D97" s="4">
        <v>46014</v>
      </c>
      <c r="E97" s="3" t="s">
        <v>294</v>
      </c>
      <c r="F97" s="7" t="s">
        <v>209</v>
      </c>
    </row>
    <row r="98" spans="1:6" ht="15" thickBot="1" x14ac:dyDescent="0.35">
      <c r="A98" s="6" t="s">
        <v>107</v>
      </c>
      <c r="B98" s="3" t="s">
        <v>171</v>
      </c>
      <c r="C98" s="22">
        <v>75</v>
      </c>
      <c r="D98" s="4">
        <v>46018</v>
      </c>
      <c r="E98" s="3" t="s">
        <v>294</v>
      </c>
      <c r="F98" s="7" t="s">
        <v>209</v>
      </c>
    </row>
    <row r="99" spans="1:6" ht="15" thickBot="1" x14ac:dyDescent="0.35">
      <c r="A99" s="6" t="s">
        <v>219</v>
      </c>
      <c r="B99" s="3" t="s">
        <v>170</v>
      </c>
      <c r="C99" s="22">
        <v>0</v>
      </c>
      <c r="D99" s="4">
        <v>46020</v>
      </c>
      <c r="E99" s="3" t="s">
        <v>294</v>
      </c>
      <c r="F99" s="7" t="s">
        <v>209</v>
      </c>
    </row>
    <row r="100" spans="1:6" ht="15" thickBot="1" x14ac:dyDescent="0.35">
      <c r="A100" s="6" t="s">
        <v>220</v>
      </c>
      <c r="B100" s="3" t="s">
        <v>169</v>
      </c>
      <c r="C100" s="22">
        <v>50</v>
      </c>
      <c r="D100" s="4">
        <v>46021</v>
      </c>
      <c r="E100" s="3" t="s">
        <v>294</v>
      </c>
      <c r="F100" s="7" t="s">
        <v>209</v>
      </c>
    </row>
    <row r="101" spans="1:6" x14ac:dyDescent="0.3">
      <c r="A101" s="11" t="s">
        <v>221</v>
      </c>
      <c r="B101" s="12" t="s">
        <v>167</v>
      </c>
      <c r="C101" s="23">
        <v>45</v>
      </c>
      <c r="D101" s="13">
        <v>46022</v>
      </c>
      <c r="E101" s="12" t="s">
        <v>294</v>
      </c>
      <c r="F101" s="14" t="s">
        <v>209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2DBB-E394-4BDF-8383-4173DCC5C048}">
  <dimension ref="A1:G101"/>
  <sheetViews>
    <sheetView workbookViewId="0">
      <selection activeCell="J14" sqref="J14"/>
    </sheetView>
  </sheetViews>
  <sheetFormatPr baseColWidth="10" defaultRowHeight="14.4" x14ac:dyDescent="0.3"/>
  <cols>
    <col min="4" max="4" width="16.6640625" customWidth="1"/>
    <col min="5" max="5" width="14.44140625" style="19" customWidth="1"/>
    <col min="6" max="6" width="13.44140625" customWidth="1"/>
    <col min="7" max="7" width="47.44140625" customWidth="1"/>
  </cols>
  <sheetData>
    <row r="1" spans="1:7" x14ac:dyDescent="0.3">
      <c r="A1" t="s">
        <v>222</v>
      </c>
      <c r="B1" t="s">
        <v>302</v>
      </c>
      <c r="C1" t="s">
        <v>303</v>
      </c>
      <c r="D1" t="s">
        <v>223</v>
      </c>
      <c r="E1" s="19" t="s">
        <v>224</v>
      </c>
      <c r="F1" t="s">
        <v>225</v>
      </c>
      <c r="G1" t="s">
        <v>226</v>
      </c>
    </row>
    <row r="2" spans="1:7" x14ac:dyDescent="0.3">
      <c r="A2" t="s">
        <v>227</v>
      </c>
      <c r="B2">
        <v>2025</v>
      </c>
      <c r="C2" t="s">
        <v>266</v>
      </c>
      <c r="D2" t="s">
        <v>228</v>
      </c>
      <c r="E2" s="20">
        <v>150</v>
      </c>
      <c r="F2" t="s">
        <v>229</v>
      </c>
      <c r="G2" t="s">
        <v>230</v>
      </c>
    </row>
    <row r="3" spans="1:7" x14ac:dyDescent="0.3">
      <c r="A3" t="s">
        <v>227</v>
      </c>
      <c r="B3">
        <v>2025</v>
      </c>
      <c r="C3" t="s">
        <v>275</v>
      </c>
      <c r="D3" t="s">
        <v>228</v>
      </c>
      <c r="E3" s="19">
        <v>150</v>
      </c>
      <c r="F3" t="s">
        <v>229</v>
      </c>
      <c r="G3" t="s">
        <v>230</v>
      </c>
    </row>
    <row r="4" spans="1:7" x14ac:dyDescent="0.3">
      <c r="A4" t="s">
        <v>227</v>
      </c>
      <c r="B4">
        <v>2025</v>
      </c>
      <c r="C4" t="s">
        <v>280</v>
      </c>
      <c r="D4" t="s">
        <v>228</v>
      </c>
      <c r="E4" s="19">
        <v>150</v>
      </c>
      <c r="F4" t="s">
        <v>229</v>
      </c>
      <c r="G4" t="s">
        <v>230</v>
      </c>
    </row>
    <row r="5" spans="1:7" x14ac:dyDescent="0.3">
      <c r="A5" t="s">
        <v>231</v>
      </c>
      <c r="B5">
        <v>2025</v>
      </c>
      <c r="C5" t="s">
        <v>266</v>
      </c>
      <c r="D5" t="s">
        <v>232</v>
      </c>
      <c r="E5" s="19">
        <v>26</v>
      </c>
      <c r="F5" t="s">
        <v>8</v>
      </c>
      <c r="G5" t="s">
        <v>233</v>
      </c>
    </row>
    <row r="6" spans="1:7" x14ac:dyDescent="0.3">
      <c r="A6" t="s">
        <v>231</v>
      </c>
      <c r="B6">
        <v>2025</v>
      </c>
      <c r="C6" t="s">
        <v>275</v>
      </c>
      <c r="D6" t="s">
        <v>232</v>
      </c>
      <c r="E6" s="19">
        <v>26</v>
      </c>
      <c r="F6" t="s">
        <v>8</v>
      </c>
      <c r="G6" t="s">
        <v>233</v>
      </c>
    </row>
    <row r="7" spans="1:7" x14ac:dyDescent="0.3">
      <c r="A7" t="s">
        <v>231</v>
      </c>
      <c r="B7">
        <v>2025</v>
      </c>
      <c r="C7" t="s">
        <v>280</v>
      </c>
      <c r="D7" t="s">
        <v>232</v>
      </c>
      <c r="E7" s="19">
        <v>26</v>
      </c>
      <c r="F7" t="s">
        <v>8</v>
      </c>
      <c r="G7" t="s">
        <v>233</v>
      </c>
    </row>
    <row r="8" spans="1:7" x14ac:dyDescent="0.3">
      <c r="A8" t="s">
        <v>234</v>
      </c>
      <c r="B8">
        <v>2025</v>
      </c>
      <c r="C8" t="s">
        <v>266</v>
      </c>
      <c r="D8" t="s">
        <v>235</v>
      </c>
      <c r="E8" s="19">
        <v>40</v>
      </c>
      <c r="F8" t="s">
        <v>236</v>
      </c>
      <c r="G8" t="s">
        <v>237</v>
      </c>
    </row>
    <row r="9" spans="1:7" x14ac:dyDescent="0.3">
      <c r="A9" t="s">
        <v>234</v>
      </c>
      <c r="B9">
        <v>2025</v>
      </c>
      <c r="C9" t="s">
        <v>275</v>
      </c>
      <c r="D9" t="s">
        <v>235</v>
      </c>
      <c r="E9" s="19">
        <v>40</v>
      </c>
      <c r="F9" t="s">
        <v>236</v>
      </c>
      <c r="G9" t="s">
        <v>237</v>
      </c>
    </row>
    <row r="10" spans="1:7" x14ac:dyDescent="0.3">
      <c r="A10" t="s">
        <v>234</v>
      </c>
      <c r="B10">
        <v>2025</v>
      </c>
      <c r="C10" t="s">
        <v>280</v>
      </c>
      <c r="D10" t="s">
        <v>235</v>
      </c>
      <c r="E10" s="19">
        <v>40</v>
      </c>
      <c r="F10" t="s">
        <v>236</v>
      </c>
      <c r="G10" t="s">
        <v>237</v>
      </c>
    </row>
    <row r="11" spans="1:7" x14ac:dyDescent="0.3">
      <c r="A11" t="s">
        <v>238</v>
      </c>
      <c r="B11">
        <v>2025</v>
      </c>
      <c r="C11" t="s">
        <v>266</v>
      </c>
      <c r="D11" t="s">
        <v>239</v>
      </c>
      <c r="E11" s="19">
        <v>11</v>
      </c>
      <c r="F11" t="s">
        <v>240</v>
      </c>
      <c r="G11" t="s">
        <v>241</v>
      </c>
    </row>
    <row r="12" spans="1:7" x14ac:dyDescent="0.3">
      <c r="A12" t="s">
        <v>238</v>
      </c>
      <c r="B12">
        <v>2025</v>
      </c>
      <c r="C12" t="s">
        <v>275</v>
      </c>
      <c r="D12" t="s">
        <v>239</v>
      </c>
      <c r="E12" s="19">
        <v>11</v>
      </c>
      <c r="F12" t="s">
        <v>240</v>
      </c>
      <c r="G12" t="s">
        <v>241</v>
      </c>
    </row>
    <row r="13" spans="1:7" x14ac:dyDescent="0.3">
      <c r="A13" t="s">
        <v>238</v>
      </c>
      <c r="B13">
        <v>2025</v>
      </c>
      <c r="C13" t="s">
        <v>280</v>
      </c>
      <c r="D13" t="s">
        <v>239</v>
      </c>
      <c r="E13" s="19">
        <v>11</v>
      </c>
      <c r="F13" t="s">
        <v>240</v>
      </c>
      <c r="G13" t="s">
        <v>241</v>
      </c>
    </row>
    <row r="14" spans="1:7" x14ac:dyDescent="0.3">
      <c r="A14" t="s">
        <v>242</v>
      </c>
      <c r="B14">
        <v>2025</v>
      </c>
      <c r="C14" t="s">
        <v>285</v>
      </c>
      <c r="D14" t="s">
        <v>228</v>
      </c>
      <c r="E14" s="19">
        <v>156</v>
      </c>
      <c r="F14" t="s">
        <v>229</v>
      </c>
      <c r="G14" t="s">
        <v>243</v>
      </c>
    </row>
    <row r="15" spans="1:7" x14ac:dyDescent="0.3">
      <c r="A15" t="s">
        <v>242</v>
      </c>
      <c r="B15">
        <v>2025</v>
      </c>
      <c r="C15" t="s">
        <v>287</v>
      </c>
      <c r="D15" t="s">
        <v>228</v>
      </c>
      <c r="E15" s="19">
        <v>156</v>
      </c>
      <c r="F15" t="s">
        <v>229</v>
      </c>
      <c r="G15" t="s">
        <v>243</v>
      </c>
    </row>
    <row r="16" spans="1:7" x14ac:dyDescent="0.3">
      <c r="A16" t="s">
        <v>242</v>
      </c>
      <c r="B16">
        <v>2025</v>
      </c>
      <c r="C16" t="s">
        <v>288</v>
      </c>
      <c r="D16" t="s">
        <v>228</v>
      </c>
      <c r="E16" s="19">
        <v>156</v>
      </c>
      <c r="F16" t="s">
        <v>229</v>
      </c>
      <c r="G16" t="s">
        <v>243</v>
      </c>
    </row>
    <row r="17" spans="1:7" x14ac:dyDescent="0.3">
      <c r="A17" t="s">
        <v>244</v>
      </c>
      <c r="B17">
        <v>2025</v>
      </c>
      <c r="C17" t="s">
        <v>285</v>
      </c>
      <c r="D17" t="s">
        <v>232</v>
      </c>
      <c r="E17" s="19">
        <v>28</v>
      </c>
      <c r="F17" t="s">
        <v>8</v>
      </c>
      <c r="G17" t="s">
        <v>245</v>
      </c>
    </row>
    <row r="18" spans="1:7" x14ac:dyDescent="0.3">
      <c r="A18" t="s">
        <v>244</v>
      </c>
      <c r="B18">
        <v>2025</v>
      </c>
      <c r="C18" t="s">
        <v>287</v>
      </c>
      <c r="D18" t="s">
        <v>232</v>
      </c>
      <c r="E18" s="19">
        <v>28</v>
      </c>
      <c r="F18" t="s">
        <v>8</v>
      </c>
      <c r="G18" t="s">
        <v>245</v>
      </c>
    </row>
    <row r="19" spans="1:7" x14ac:dyDescent="0.3">
      <c r="A19" t="s">
        <v>244</v>
      </c>
      <c r="B19">
        <v>2025</v>
      </c>
      <c r="C19" t="s">
        <v>288</v>
      </c>
      <c r="D19" t="s">
        <v>232</v>
      </c>
      <c r="E19" s="19">
        <v>28</v>
      </c>
      <c r="F19" t="s">
        <v>8</v>
      </c>
      <c r="G19" t="s">
        <v>245</v>
      </c>
    </row>
    <row r="20" spans="1:7" x14ac:dyDescent="0.3">
      <c r="A20" t="s">
        <v>246</v>
      </c>
      <c r="B20">
        <v>2025</v>
      </c>
      <c r="C20" t="s">
        <v>285</v>
      </c>
      <c r="D20" t="s">
        <v>235</v>
      </c>
      <c r="E20" s="19">
        <v>400</v>
      </c>
      <c r="F20" t="s">
        <v>236</v>
      </c>
      <c r="G20" t="s">
        <v>237</v>
      </c>
    </row>
    <row r="21" spans="1:7" x14ac:dyDescent="0.3">
      <c r="A21" t="s">
        <v>246</v>
      </c>
      <c r="B21">
        <v>2025</v>
      </c>
      <c r="C21" t="s">
        <v>287</v>
      </c>
      <c r="D21" t="s">
        <v>235</v>
      </c>
      <c r="E21" s="19">
        <v>400</v>
      </c>
      <c r="F21" t="s">
        <v>236</v>
      </c>
      <c r="G21" t="s">
        <v>237</v>
      </c>
    </row>
    <row r="22" spans="1:7" x14ac:dyDescent="0.3">
      <c r="A22" t="s">
        <v>246</v>
      </c>
      <c r="B22">
        <v>2025</v>
      </c>
      <c r="C22" t="s">
        <v>288</v>
      </c>
      <c r="D22" t="s">
        <v>235</v>
      </c>
      <c r="E22" s="19">
        <v>400</v>
      </c>
      <c r="F22" t="s">
        <v>236</v>
      </c>
      <c r="G22" t="s">
        <v>237</v>
      </c>
    </row>
    <row r="23" spans="1:7" x14ac:dyDescent="0.3">
      <c r="A23" t="s">
        <v>247</v>
      </c>
      <c r="B23">
        <v>2025</v>
      </c>
      <c r="C23" t="s">
        <v>285</v>
      </c>
      <c r="D23" t="s">
        <v>248</v>
      </c>
      <c r="E23" s="19">
        <v>200</v>
      </c>
      <c r="F23" t="s">
        <v>236</v>
      </c>
      <c r="G23" t="s">
        <v>249</v>
      </c>
    </row>
    <row r="24" spans="1:7" x14ac:dyDescent="0.3">
      <c r="A24" t="s">
        <v>247</v>
      </c>
      <c r="B24">
        <v>2025</v>
      </c>
      <c r="C24" t="s">
        <v>287</v>
      </c>
      <c r="D24" t="s">
        <v>248</v>
      </c>
      <c r="E24" s="19">
        <v>200</v>
      </c>
      <c r="F24" t="s">
        <v>236</v>
      </c>
      <c r="G24" t="s">
        <v>249</v>
      </c>
    </row>
    <row r="25" spans="1:7" x14ac:dyDescent="0.3">
      <c r="A25" t="s">
        <v>247</v>
      </c>
      <c r="B25">
        <v>2025</v>
      </c>
      <c r="C25" t="s">
        <v>288</v>
      </c>
      <c r="D25" t="s">
        <v>248</v>
      </c>
      <c r="E25" s="19">
        <v>200</v>
      </c>
      <c r="F25" t="s">
        <v>236</v>
      </c>
      <c r="G25" t="s">
        <v>249</v>
      </c>
    </row>
    <row r="26" spans="1:7" x14ac:dyDescent="0.3">
      <c r="A26" t="s">
        <v>250</v>
      </c>
      <c r="B26">
        <v>2025</v>
      </c>
      <c r="C26" t="s">
        <v>289</v>
      </c>
      <c r="D26" t="s">
        <v>228</v>
      </c>
      <c r="E26" s="19">
        <v>156</v>
      </c>
      <c r="F26" t="s">
        <v>229</v>
      </c>
      <c r="G26" t="s">
        <v>230</v>
      </c>
    </row>
    <row r="27" spans="1:7" x14ac:dyDescent="0.3">
      <c r="A27" t="s">
        <v>250</v>
      </c>
      <c r="B27">
        <v>2025</v>
      </c>
      <c r="C27" t="s">
        <v>290</v>
      </c>
      <c r="D27" t="s">
        <v>228</v>
      </c>
      <c r="E27" s="19">
        <v>156</v>
      </c>
      <c r="F27" t="s">
        <v>229</v>
      </c>
      <c r="G27" t="s">
        <v>230</v>
      </c>
    </row>
    <row r="28" spans="1:7" x14ac:dyDescent="0.3">
      <c r="A28" t="s">
        <v>250</v>
      </c>
      <c r="B28">
        <v>2025</v>
      </c>
      <c r="C28" t="s">
        <v>291</v>
      </c>
      <c r="D28" t="s">
        <v>228</v>
      </c>
      <c r="E28" s="19">
        <v>156</v>
      </c>
      <c r="F28" t="s">
        <v>229</v>
      </c>
      <c r="G28" t="s">
        <v>230</v>
      </c>
    </row>
    <row r="29" spans="1:7" x14ac:dyDescent="0.3">
      <c r="A29" t="s">
        <v>251</v>
      </c>
      <c r="B29">
        <v>2025</v>
      </c>
      <c r="C29" t="s">
        <v>289</v>
      </c>
      <c r="D29" t="s">
        <v>232</v>
      </c>
      <c r="E29" s="19">
        <v>30</v>
      </c>
      <c r="F29" t="s">
        <v>8</v>
      </c>
      <c r="G29" t="s">
        <v>252</v>
      </c>
    </row>
    <row r="30" spans="1:7" x14ac:dyDescent="0.3">
      <c r="A30" t="s">
        <v>251</v>
      </c>
      <c r="B30">
        <v>2025</v>
      </c>
      <c r="C30" t="s">
        <v>290</v>
      </c>
      <c r="D30" t="s">
        <v>232</v>
      </c>
      <c r="E30" s="19">
        <v>30</v>
      </c>
      <c r="F30" t="s">
        <v>8</v>
      </c>
      <c r="G30" t="s">
        <v>252</v>
      </c>
    </row>
    <row r="31" spans="1:7" x14ac:dyDescent="0.3">
      <c r="A31" t="s">
        <v>251</v>
      </c>
      <c r="B31">
        <v>2025</v>
      </c>
      <c r="C31" t="s">
        <v>291</v>
      </c>
      <c r="D31" t="s">
        <v>232</v>
      </c>
      <c r="E31" s="19">
        <v>30</v>
      </c>
      <c r="F31" t="s">
        <v>8</v>
      </c>
      <c r="G31" t="s">
        <v>252</v>
      </c>
    </row>
    <row r="32" spans="1:7" x14ac:dyDescent="0.3">
      <c r="A32" t="s">
        <v>253</v>
      </c>
      <c r="B32">
        <v>2025</v>
      </c>
      <c r="C32" t="s">
        <v>289</v>
      </c>
      <c r="D32" t="s">
        <v>235</v>
      </c>
      <c r="E32" s="19">
        <v>400</v>
      </c>
      <c r="F32" t="s">
        <v>236</v>
      </c>
      <c r="G32" t="s">
        <v>237</v>
      </c>
    </row>
    <row r="33" spans="1:7" x14ac:dyDescent="0.3">
      <c r="A33" t="s">
        <v>253</v>
      </c>
      <c r="B33">
        <v>2025</v>
      </c>
      <c r="C33" t="s">
        <v>290</v>
      </c>
      <c r="D33" t="s">
        <v>235</v>
      </c>
      <c r="E33" s="19">
        <v>400</v>
      </c>
      <c r="F33" t="s">
        <v>236</v>
      </c>
      <c r="G33" t="s">
        <v>237</v>
      </c>
    </row>
    <row r="34" spans="1:7" x14ac:dyDescent="0.3">
      <c r="A34" t="s">
        <v>253</v>
      </c>
      <c r="B34">
        <v>2025</v>
      </c>
      <c r="C34" t="s">
        <v>291</v>
      </c>
      <c r="D34" t="s">
        <v>235</v>
      </c>
      <c r="E34" s="19">
        <v>400</v>
      </c>
      <c r="F34" t="s">
        <v>236</v>
      </c>
      <c r="G34" t="s">
        <v>237</v>
      </c>
    </row>
    <row r="35" spans="1:7" x14ac:dyDescent="0.3">
      <c r="A35" t="s">
        <v>254</v>
      </c>
      <c r="B35">
        <v>2025</v>
      </c>
      <c r="C35" t="s">
        <v>289</v>
      </c>
      <c r="D35" t="s">
        <v>304</v>
      </c>
      <c r="E35" s="19">
        <v>25</v>
      </c>
      <c r="F35" t="s">
        <v>267</v>
      </c>
      <c r="G35" t="s">
        <v>305</v>
      </c>
    </row>
    <row r="36" spans="1:7" x14ac:dyDescent="0.3">
      <c r="A36" t="s">
        <v>254</v>
      </c>
      <c r="B36">
        <v>2025</v>
      </c>
      <c r="C36" t="s">
        <v>290</v>
      </c>
      <c r="D36" t="s">
        <v>304</v>
      </c>
      <c r="E36" s="19">
        <v>25</v>
      </c>
      <c r="F36" t="s">
        <v>267</v>
      </c>
      <c r="G36" t="s">
        <v>305</v>
      </c>
    </row>
    <row r="37" spans="1:7" x14ac:dyDescent="0.3">
      <c r="A37" t="s">
        <v>254</v>
      </c>
      <c r="B37">
        <v>2025</v>
      </c>
      <c r="C37" t="s">
        <v>291</v>
      </c>
      <c r="D37" t="s">
        <v>304</v>
      </c>
      <c r="E37" s="19">
        <v>25</v>
      </c>
      <c r="F37" t="s">
        <v>267</v>
      </c>
      <c r="G37" t="s">
        <v>305</v>
      </c>
    </row>
    <row r="38" spans="1:7" x14ac:dyDescent="0.3">
      <c r="A38" t="s">
        <v>255</v>
      </c>
      <c r="B38">
        <v>2025</v>
      </c>
      <c r="C38" t="s">
        <v>292</v>
      </c>
      <c r="D38" t="s">
        <v>228</v>
      </c>
      <c r="E38" s="19">
        <v>163</v>
      </c>
      <c r="F38" t="s">
        <v>229</v>
      </c>
      <c r="G38" t="s">
        <v>306</v>
      </c>
    </row>
    <row r="39" spans="1:7" x14ac:dyDescent="0.3">
      <c r="A39" t="s">
        <v>255</v>
      </c>
      <c r="B39">
        <v>2025</v>
      </c>
      <c r="C39" t="s">
        <v>293</v>
      </c>
      <c r="D39" t="s">
        <v>228</v>
      </c>
      <c r="E39" s="19">
        <v>163</v>
      </c>
      <c r="F39" t="s">
        <v>229</v>
      </c>
      <c r="G39" t="s">
        <v>306</v>
      </c>
    </row>
    <row r="40" spans="1:7" x14ac:dyDescent="0.3">
      <c r="A40" t="s">
        <v>255</v>
      </c>
      <c r="B40">
        <v>2025</v>
      </c>
      <c r="C40" t="s">
        <v>294</v>
      </c>
      <c r="D40" t="s">
        <v>228</v>
      </c>
      <c r="E40" s="19">
        <v>163</v>
      </c>
      <c r="F40" t="s">
        <v>229</v>
      </c>
      <c r="G40" t="s">
        <v>306</v>
      </c>
    </row>
    <row r="41" spans="1:7" x14ac:dyDescent="0.3">
      <c r="A41" t="s">
        <v>256</v>
      </c>
      <c r="B41">
        <v>2025</v>
      </c>
      <c r="C41" t="s">
        <v>292</v>
      </c>
      <c r="D41" t="s">
        <v>232</v>
      </c>
      <c r="E41" s="19">
        <v>31</v>
      </c>
      <c r="F41" t="s">
        <v>8</v>
      </c>
      <c r="G41" t="s">
        <v>307</v>
      </c>
    </row>
    <row r="42" spans="1:7" x14ac:dyDescent="0.3">
      <c r="A42" t="s">
        <v>256</v>
      </c>
      <c r="B42">
        <v>2025</v>
      </c>
      <c r="C42" t="s">
        <v>293</v>
      </c>
      <c r="D42" t="s">
        <v>232</v>
      </c>
      <c r="E42" s="19">
        <v>31</v>
      </c>
      <c r="F42" t="s">
        <v>8</v>
      </c>
      <c r="G42" t="s">
        <v>307</v>
      </c>
    </row>
    <row r="43" spans="1:7" x14ac:dyDescent="0.3">
      <c r="A43" t="s">
        <v>256</v>
      </c>
      <c r="B43">
        <v>2025</v>
      </c>
      <c r="C43" t="s">
        <v>294</v>
      </c>
      <c r="D43" t="s">
        <v>232</v>
      </c>
      <c r="E43" s="19">
        <v>31</v>
      </c>
      <c r="F43" t="s">
        <v>8</v>
      </c>
      <c r="G43" t="s">
        <v>307</v>
      </c>
    </row>
    <row r="44" spans="1:7" x14ac:dyDescent="0.3">
      <c r="A44" t="s">
        <v>257</v>
      </c>
      <c r="B44">
        <v>2025</v>
      </c>
      <c r="C44" t="s">
        <v>292</v>
      </c>
      <c r="D44" t="s">
        <v>235</v>
      </c>
      <c r="E44" s="19">
        <v>433</v>
      </c>
      <c r="F44" t="s">
        <v>236</v>
      </c>
      <c r="G44" t="s">
        <v>308</v>
      </c>
    </row>
    <row r="45" spans="1:7" x14ac:dyDescent="0.3">
      <c r="A45" t="s">
        <v>257</v>
      </c>
      <c r="B45">
        <v>2025</v>
      </c>
      <c r="C45" t="s">
        <v>293</v>
      </c>
      <c r="D45" t="s">
        <v>235</v>
      </c>
      <c r="E45" s="19">
        <v>433</v>
      </c>
      <c r="F45" t="s">
        <v>236</v>
      </c>
      <c r="G45" t="s">
        <v>308</v>
      </c>
    </row>
    <row r="46" spans="1:7" x14ac:dyDescent="0.3">
      <c r="A46" t="s">
        <v>257</v>
      </c>
      <c r="B46">
        <v>2025</v>
      </c>
      <c r="C46" t="s">
        <v>294</v>
      </c>
      <c r="D46" t="s">
        <v>235</v>
      </c>
      <c r="E46" s="19">
        <v>433</v>
      </c>
      <c r="F46" t="s">
        <v>236</v>
      </c>
      <c r="G46" t="s">
        <v>308</v>
      </c>
    </row>
    <row r="47" spans="1:7" x14ac:dyDescent="0.3">
      <c r="A47" t="s">
        <v>258</v>
      </c>
      <c r="B47">
        <v>2025</v>
      </c>
      <c r="C47" t="s">
        <v>292</v>
      </c>
      <c r="D47" t="s">
        <v>248</v>
      </c>
      <c r="E47" s="19">
        <v>26</v>
      </c>
      <c r="F47" t="s">
        <v>236</v>
      </c>
      <c r="G47" t="s">
        <v>309</v>
      </c>
    </row>
    <row r="48" spans="1:7" x14ac:dyDescent="0.3">
      <c r="A48" t="s">
        <v>258</v>
      </c>
      <c r="B48">
        <v>2025</v>
      </c>
      <c r="C48" t="s">
        <v>293</v>
      </c>
      <c r="D48" t="s">
        <v>248</v>
      </c>
      <c r="E48" s="19">
        <v>26</v>
      </c>
      <c r="F48" t="s">
        <v>236</v>
      </c>
      <c r="G48" t="s">
        <v>309</v>
      </c>
    </row>
    <row r="49" spans="1:7" x14ac:dyDescent="0.3">
      <c r="A49" t="s">
        <v>258</v>
      </c>
      <c r="B49">
        <v>2025</v>
      </c>
      <c r="C49" t="s">
        <v>294</v>
      </c>
      <c r="D49" t="s">
        <v>248</v>
      </c>
      <c r="E49" s="19">
        <v>26</v>
      </c>
      <c r="F49" t="s">
        <v>236</v>
      </c>
      <c r="G49" t="s">
        <v>309</v>
      </c>
    </row>
    <row r="50" spans="1:7" x14ac:dyDescent="0.3">
      <c r="A50" t="s">
        <v>261</v>
      </c>
      <c r="B50">
        <v>2025</v>
      </c>
      <c r="C50" t="s">
        <v>266</v>
      </c>
      <c r="D50" t="s">
        <v>310</v>
      </c>
      <c r="E50" s="19">
        <v>333</v>
      </c>
      <c r="F50" t="s">
        <v>229</v>
      </c>
      <c r="G50" t="s">
        <v>230</v>
      </c>
    </row>
    <row r="51" spans="1:7" x14ac:dyDescent="0.3">
      <c r="A51" t="s">
        <v>261</v>
      </c>
      <c r="B51">
        <v>2025</v>
      </c>
      <c r="C51" t="s">
        <v>275</v>
      </c>
      <c r="D51" t="s">
        <v>310</v>
      </c>
      <c r="E51" s="19">
        <v>333</v>
      </c>
      <c r="F51" t="s">
        <v>229</v>
      </c>
      <c r="G51" t="s">
        <v>230</v>
      </c>
    </row>
    <row r="52" spans="1:7" x14ac:dyDescent="0.3">
      <c r="A52" t="s">
        <v>261</v>
      </c>
      <c r="B52">
        <v>2025</v>
      </c>
      <c r="C52" t="s">
        <v>280</v>
      </c>
      <c r="D52" t="s">
        <v>310</v>
      </c>
      <c r="E52" s="19">
        <v>333</v>
      </c>
      <c r="F52" t="s">
        <v>229</v>
      </c>
      <c r="G52" t="s">
        <v>230</v>
      </c>
    </row>
    <row r="53" spans="1:7" x14ac:dyDescent="0.3">
      <c r="A53" t="s">
        <v>262</v>
      </c>
      <c r="B53">
        <v>2025</v>
      </c>
      <c r="C53" t="s">
        <v>266</v>
      </c>
      <c r="D53" t="s">
        <v>311</v>
      </c>
      <c r="E53" s="19">
        <v>666</v>
      </c>
      <c r="F53" t="s">
        <v>236</v>
      </c>
      <c r="G53" t="s">
        <v>237</v>
      </c>
    </row>
    <row r="54" spans="1:7" x14ac:dyDescent="0.3">
      <c r="A54" t="s">
        <v>262</v>
      </c>
      <c r="B54">
        <v>2025</v>
      </c>
      <c r="C54" t="s">
        <v>275</v>
      </c>
      <c r="D54" t="s">
        <v>311</v>
      </c>
      <c r="E54" s="19">
        <v>666</v>
      </c>
      <c r="F54" t="s">
        <v>236</v>
      </c>
      <c r="G54" t="s">
        <v>237</v>
      </c>
    </row>
    <row r="55" spans="1:7" x14ac:dyDescent="0.3">
      <c r="A55" t="s">
        <v>262</v>
      </c>
      <c r="B55">
        <v>2025</v>
      </c>
      <c r="C55" t="s">
        <v>280</v>
      </c>
      <c r="D55" t="s">
        <v>311</v>
      </c>
      <c r="E55" s="19">
        <v>666</v>
      </c>
      <c r="F55" t="s">
        <v>236</v>
      </c>
      <c r="G55" t="s">
        <v>237</v>
      </c>
    </row>
    <row r="56" spans="1:7" x14ac:dyDescent="0.3">
      <c r="A56" t="s">
        <v>263</v>
      </c>
      <c r="B56">
        <v>2025</v>
      </c>
      <c r="C56" t="s">
        <v>266</v>
      </c>
      <c r="D56" t="s">
        <v>312</v>
      </c>
      <c r="E56" s="19">
        <v>26</v>
      </c>
      <c r="F56" t="s">
        <v>236</v>
      </c>
      <c r="G56" t="s">
        <v>270</v>
      </c>
    </row>
    <row r="57" spans="1:7" x14ac:dyDescent="0.3">
      <c r="A57" t="s">
        <v>263</v>
      </c>
      <c r="B57">
        <v>2025</v>
      </c>
      <c r="C57" t="s">
        <v>275</v>
      </c>
      <c r="D57" t="s">
        <v>312</v>
      </c>
      <c r="E57" s="19">
        <v>26</v>
      </c>
      <c r="F57" t="s">
        <v>236</v>
      </c>
      <c r="G57" t="s">
        <v>270</v>
      </c>
    </row>
    <row r="58" spans="1:7" x14ac:dyDescent="0.3">
      <c r="A58" t="s">
        <v>263</v>
      </c>
      <c r="B58">
        <v>2025</v>
      </c>
      <c r="C58" t="s">
        <v>280</v>
      </c>
      <c r="D58" t="s">
        <v>312</v>
      </c>
      <c r="E58" s="19">
        <v>26</v>
      </c>
      <c r="F58" t="s">
        <v>236</v>
      </c>
      <c r="G58" t="s">
        <v>270</v>
      </c>
    </row>
    <row r="59" spans="1:7" x14ac:dyDescent="0.3">
      <c r="A59" t="s">
        <v>264</v>
      </c>
      <c r="B59">
        <v>2025</v>
      </c>
      <c r="C59" t="s">
        <v>266</v>
      </c>
      <c r="D59" t="s">
        <v>313</v>
      </c>
      <c r="E59" s="19">
        <v>40</v>
      </c>
      <c r="F59" t="s">
        <v>8</v>
      </c>
      <c r="G59" t="s">
        <v>233</v>
      </c>
    </row>
    <row r="60" spans="1:7" x14ac:dyDescent="0.3">
      <c r="A60" t="s">
        <v>264</v>
      </c>
      <c r="B60">
        <v>2025</v>
      </c>
      <c r="C60" t="s">
        <v>275</v>
      </c>
      <c r="D60" t="s">
        <v>313</v>
      </c>
      <c r="E60" s="19">
        <v>40</v>
      </c>
      <c r="F60" t="s">
        <v>8</v>
      </c>
      <c r="G60" t="s">
        <v>233</v>
      </c>
    </row>
    <row r="61" spans="1:7" x14ac:dyDescent="0.3">
      <c r="A61" t="s">
        <v>264</v>
      </c>
      <c r="B61">
        <v>2025</v>
      </c>
      <c r="C61" t="s">
        <v>280</v>
      </c>
      <c r="D61" t="s">
        <v>313</v>
      </c>
      <c r="E61" s="19">
        <v>40</v>
      </c>
      <c r="F61" t="s">
        <v>8</v>
      </c>
      <c r="G61" t="s">
        <v>233</v>
      </c>
    </row>
    <row r="62" spans="1:7" x14ac:dyDescent="0.3">
      <c r="A62" t="s">
        <v>265</v>
      </c>
      <c r="B62">
        <v>2025</v>
      </c>
      <c r="C62" t="s">
        <v>266</v>
      </c>
      <c r="D62" t="s">
        <v>314</v>
      </c>
      <c r="E62" s="19">
        <v>166</v>
      </c>
      <c r="F62" t="s">
        <v>240</v>
      </c>
      <c r="G62" t="s">
        <v>241</v>
      </c>
    </row>
    <row r="63" spans="1:7" x14ac:dyDescent="0.3">
      <c r="A63" t="s">
        <v>265</v>
      </c>
      <c r="B63">
        <v>2025</v>
      </c>
      <c r="C63" t="s">
        <v>275</v>
      </c>
      <c r="D63" t="s">
        <v>314</v>
      </c>
      <c r="E63" s="19">
        <v>166</v>
      </c>
      <c r="F63" t="s">
        <v>240</v>
      </c>
      <c r="G63" t="s">
        <v>241</v>
      </c>
    </row>
    <row r="64" spans="1:7" x14ac:dyDescent="0.3">
      <c r="A64" t="s">
        <v>265</v>
      </c>
      <c r="B64">
        <v>2025</v>
      </c>
      <c r="C64" t="s">
        <v>280</v>
      </c>
      <c r="D64" t="s">
        <v>314</v>
      </c>
      <c r="E64" s="19">
        <v>166</v>
      </c>
      <c r="F64" t="s">
        <v>240</v>
      </c>
      <c r="G64" t="s">
        <v>241</v>
      </c>
    </row>
    <row r="65" spans="1:7" x14ac:dyDescent="0.3">
      <c r="A65" t="s">
        <v>268</v>
      </c>
      <c r="B65">
        <v>2025</v>
      </c>
      <c r="C65" t="s">
        <v>266</v>
      </c>
      <c r="D65" t="s">
        <v>315</v>
      </c>
      <c r="E65" s="19">
        <v>100</v>
      </c>
      <c r="F65" t="s">
        <v>236</v>
      </c>
      <c r="G65" t="s">
        <v>316</v>
      </c>
    </row>
    <row r="66" spans="1:7" x14ac:dyDescent="0.3">
      <c r="A66" t="s">
        <v>268</v>
      </c>
      <c r="B66">
        <v>2025</v>
      </c>
      <c r="C66" t="s">
        <v>275</v>
      </c>
      <c r="D66" t="s">
        <v>315</v>
      </c>
      <c r="E66" s="19">
        <v>100</v>
      </c>
      <c r="F66" t="s">
        <v>236</v>
      </c>
      <c r="G66" t="s">
        <v>316</v>
      </c>
    </row>
    <row r="67" spans="1:7" x14ac:dyDescent="0.3">
      <c r="A67" t="s">
        <v>268</v>
      </c>
      <c r="B67">
        <v>2025</v>
      </c>
      <c r="C67" t="s">
        <v>280</v>
      </c>
      <c r="D67" t="s">
        <v>315</v>
      </c>
      <c r="E67" s="19">
        <v>100</v>
      </c>
      <c r="F67" t="s">
        <v>236</v>
      </c>
      <c r="G67" t="s">
        <v>316</v>
      </c>
    </row>
    <row r="68" spans="1:7" x14ac:dyDescent="0.3">
      <c r="A68" t="s">
        <v>271</v>
      </c>
      <c r="B68">
        <v>2025</v>
      </c>
      <c r="C68" t="s">
        <v>266</v>
      </c>
      <c r="D68" t="s">
        <v>317</v>
      </c>
      <c r="E68" s="19">
        <v>14</v>
      </c>
      <c r="F68" t="s">
        <v>240</v>
      </c>
      <c r="G68" t="s">
        <v>318</v>
      </c>
    </row>
    <row r="69" spans="1:7" x14ac:dyDescent="0.3">
      <c r="A69" t="s">
        <v>271</v>
      </c>
      <c r="B69">
        <v>2025</v>
      </c>
      <c r="C69" t="s">
        <v>275</v>
      </c>
      <c r="D69" t="s">
        <v>317</v>
      </c>
      <c r="E69" s="19">
        <v>14</v>
      </c>
      <c r="F69" t="s">
        <v>240</v>
      </c>
      <c r="G69" t="s">
        <v>318</v>
      </c>
    </row>
    <row r="70" spans="1:7" x14ac:dyDescent="0.3">
      <c r="A70" t="s">
        <v>271</v>
      </c>
      <c r="B70">
        <v>2025</v>
      </c>
      <c r="C70" t="s">
        <v>280</v>
      </c>
      <c r="D70" t="s">
        <v>317</v>
      </c>
      <c r="E70" s="19">
        <v>14</v>
      </c>
      <c r="F70" t="s">
        <v>240</v>
      </c>
      <c r="G70" t="s">
        <v>318</v>
      </c>
    </row>
    <row r="71" spans="1:7" x14ac:dyDescent="0.3">
      <c r="A71" t="s">
        <v>273</v>
      </c>
      <c r="B71">
        <v>2025</v>
      </c>
      <c r="C71" t="s">
        <v>285</v>
      </c>
      <c r="D71" t="s">
        <v>319</v>
      </c>
      <c r="E71" s="19">
        <v>150</v>
      </c>
      <c r="F71" t="s">
        <v>267</v>
      </c>
      <c r="G71" t="s">
        <v>295</v>
      </c>
    </row>
    <row r="72" spans="1:7" x14ac:dyDescent="0.3">
      <c r="A72" t="s">
        <v>273</v>
      </c>
      <c r="B72">
        <v>2025</v>
      </c>
      <c r="C72" t="s">
        <v>287</v>
      </c>
      <c r="D72" t="s">
        <v>319</v>
      </c>
      <c r="E72" s="19">
        <v>150</v>
      </c>
      <c r="F72" t="s">
        <v>267</v>
      </c>
      <c r="G72" t="s">
        <v>295</v>
      </c>
    </row>
    <row r="73" spans="1:7" x14ac:dyDescent="0.3">
      <c r="A73" t="s">
        <v>273</v>
      </c>
      <c r="B73">
        <v>2025</v>
      </c>
      <c r="C73" t="s">
        <v>288</v>
      </c>
      <c r="D73" t="s">
        <v>319</v>
      </c>
      <c r="E73" s="19">
        <v>150</v>
      </c>
      <c r="F73" t="s">
        <v>267</v>
      </c>
      <c r="G73" t="s">
        <v>295</v>
      </c>
    </row>
    <row r="74" spans="1:7" x14ac:dyDescent="0.3">
      <c r="A74" t="s">
        <v>274</v>
      </c>
      <c r="B74">
        <v>2025</v>
      </c>
      <c r="C74" t="s">
        <v>285</v>
      </c>
      <c r="D74" t="s">
        <v>269</v>
      </c>
      <c r="E74" s="19">
        <v>11</v>
      </c>
      <c r="F74" t="s">
        <v>236</v>
      </c>
      <c r="G74" t="s">
        <v>270</v>
      </c>
    </row>
    <row r="75" spans="1:7" x14ac:dyDescent="0.3">
      <c r="A75" t="s">
        <v>274</v>
      </c>
      <c r="B75">
        <v>2025</v>
      </c>
      <c r="C75" t="s">
        <v>287</v>
      </c>
      <c r="D75" t="s">
        <v>269</v>
      </c>
      <c r="E75" s="19">
        <v>11</v>
      </c>
      <c r="F75" t="s">
        <v>236</v>
      </c>
      <c r="G75" t="s">
        <v>270</v>
      </c>
    </row>
    <row r="76" spans="1:7" x14ac:dyDescent="0.3">
      <c r="A76" t="s">
        <v>274</v>
      </c>
      <c r="B76">
        <v>2025</v>
      </c>
      <c r="C76" t="s">
        <v>288</v>
      </c>
      <c r="D76" t="s">
        <v>269</v>
      </c>
      <c r="E76" s="19">
        <v>11</v>
      </c>
      <c r="F76" t="s">
        <v>236</v>
      </c>
      <c r="G76" t="s">
        <v>270</v>
      </c>
    </row>
    <row r="77" spans="1:7" x14ac:dyDescent="0.3">
      <c r="A77" t="s">
        <v>276</v>
      </c>
      <c r="B77">
        <v>2025</v>
      </c>
      <c r="C77" t="s">
        <v>285</v>
      </c>
      <c r="D77" t="s">
        <v>272</v>
      </c>
      <c r="E77" s="19">
        <v>10</v>
      </c>
      <c r="F77" t="s">
        <v>8</v>
      </c>
      <c r="G77" t="s">
        <v>296</v>
      </c>
    </row>
    <row r="78" spans="1:7" x14ac:dyDescent="0.3">
      <c r="A78" t="s">
        <v>276</v>
      </c>
      <c r="B78">
        <v>2025</v>
      </c>
      <c r="C78" t="s">
        <v>287</v>
      </c>
      <c r="D78" t="s">
        <v>272</v>
      </c>
      <c r="E78" s="19">
        <v>10</v>
      </c>
      <c r="F78" t="s">
        <v>8</v>
      </c>
      <c r="G78" t="s">
        <v>296</v>
      </c>
    </row>
    <row r="79" spans="1:7" x14ac:dyDescent="0.3">
      <c r="A79" t="s">
        <v>276</v>
      </c>
      <c r="B79">
        <v>2025</v>
      </c>
      <c r="C79" t="s">
        <v>288</v>
      </c>
      <c r="D79" t="s">
        <v>272</v>
      </c>
      <c r="E79" s="19">
        <v>10</v>
      </c>
      <c r="F79" t="s">
        <v>8</v>
      </c>
      <c r="G79" t="s">
        <v>296</v>
      </c>
    </row>
    <row r="80" spans="1:7" x14ac:dyDescent="0.3">
      <c r="A80" t="s">
        <v>277</v>
      </c>
      <c r="B80">
        <v>2025</v>
      </c>
      <c r="C80" t="s">
        <v>285</v>
      </c>
      <c r="D80" t="s">
        <v>259</v>
      </c>
      <c r="E80" s="19">
        <v>133</v>
      </c>
      <c r="F80" t="s">
        <v>260</v>
      </c>
      <c r="G80" t="s">
        <v>297</v>
      </c>
    </row>
    <row r="81" spans="1:7" x14ac:dyDescent="0.3">
      <c r="A81" t="s">
        <v>277</v>
      </c>
      <c r="B81">
        <v>2025</v>
      </c>
      <c r="C81" t="s">
        <v>287</v>
      </c>
      <c r="D81" t="s">
        <v>259</v>
      </c>
      <c r="E81" s="19">
        <v>133</v>
      </c>
      <c r="F81" t="s">
        <v>260</v>
      </c>
      <c r="G81" t="s">
        <v>297</v>
      </c>
    </row>
    <row r="82" spans="1:7" x14ac:dyDescent="0.3">
      <c r="A82" t="s">
        <v>277</v>
      </c>
      <c r="B82">
        <v>2025</v>
      </c>
      <c r="C82" t="s">
        <v>288</v>
      </c>
      <c r="D82" t="s">
        <v>259</v>
      </c>
      <c r="E82" s="19">
        <v>133</v>
      </c>
      <c r="F82" t="s">
        <v>260</v>
      </c>
      <c r="G82" t="s">
        <v>297</v>
      </c>
    </row>
    <row r="83" spans="1:7" x14ac:dyDescent="0.3">
      <c r="A83" t="s">
        <v>278</v>
      </c>
      <c r="B83">
        <v>2025</v>
      </c>
      <c r="C83" t="s">
        <v>266</v>
      </c>
      <c r="D83" t="s">
        <v>298</v>
      </c>
      <c r="E83" s="19">
        <v>66</v>
      </c>
      <c r="F83" t="s">
        <v>267</v>
      </c>
      <c r="G83" t="s">
        <v>299</v>
      </c>
    </row>
    <row r="84" spans="1:7" x14ac:dyDescent="0.3">
      <c r="A84" t="s">
        <v>278</v>
      </c>
      <c r="B84">
        <v>2025</v>
      </c>
      <c r="C84" t="s">
        <v>275</v>
      </c>
      <c r="D84" t="s">
        <v>298</v>
      </c>
      <c r="E84" s="19">
        <v>66</v>
      </c>
      <c r="F84" t="s">
        <v>267</v>
      </c>
      <c r="G84" t="s">
        <v>299</v>
      </c>
    </row>
    <row r="85" spans="1:7" x14ac:dyDescent="0.3">
      <c r="A85" t="s">
        <v>278</v>
      </c>
      <c r="B85">
        <v>2025</v>
      </c>
      <c r="C85" t="s">
        <v>280</v>
      </c>
      <c r="D85" t="s">
        <v>298</v>
      </c>
      <c r="E85" s="19">
        <v>66</v>
      </c>
      <c r="F85" t="s">
        <v>267</v>
      </c>
      <c r="G85" t="s">
        <v>299</v>
      </c>
    </row>
    <row r="86" spans="1:7" x14ac:dyDescent="0.3">
      <c r="A86" t="s">
        <v>279</v>
      </c>
      <c r="B86">
        <v>2025</v>
      </c>
      <c r="C86" t="s">
        <v>285</v>
      </c>
      <c r="D86" t="s">
        <v>298</v>
      </c>
      <c r="E86" s="19">
        <v>66</v>
      </c>
      <c r="F86" t="s">
        <v>267</v>
      </c>
      <c r="G86" t="s">
        <v>299</v>
      </c>
    </row>
    <row r="87" spans="1:7" x14ac:dyDescent="0.3">
      <c r="A87" t="s">
        <v>279</v>
      </c>
      <c r="B87">
        <v>2025</v>
      </c>
      <c r="C87" t="s">
        <v>287</v>
      </c>
      <c r="D87" t="s">
        <v>298</v>
      </c>
      <c r="E87" s="19">
        <v>66</v>
      </c>
      <c r="F87" t="s">
        <v>267</v>
      </c>
      <c r="G87" t="s">
        <v>299</v>
      </c>
    </row>
    <row r="88" spans="1:7" x14ac:dyDescent="0.3">
      <c r="A88" t="s">
        <v>279</v>
      </c>
      <c r="B88">
        <v>2025</v>
      </c>
      <c r="C88" t="s">
        <v>288</v>
      </c>
      <c r="D88" t="s">
        <v>298</v>
      </c>
      <c r="E88" s="19">
        <v>66</v>
      </c>
      <c r="F88" t="s">
        <v>267</v>
      </c>
      <c r="G88" t="s">
        <v>299</v>
      </c>
    </row>
    <row r="89" spans="1:7" x14ac:dyDescent="0.3">
      <c r="A89" t="s">
        <v>281</v>
      </c>
      <c r="B89">
        <v>2025</v>
      </c>
      <c r="C89" t="s">
        <v>289</v>
      </c>
      <c r="D89" t="s">
        <v>298</v>
      </c>
      <c r="E89" s="19">
        <v>66</v>
      </c>
      <c r="F89" t="s">
        <v>267</v>
      </c>
      <c r="G89" t="s">
        <v>299</v>
      </c>
    </row>
    <row r="90" spans="1:7" x14ac:dyDescent="0.3">
      <c r="A90" t="s">
        <v>281</v>
      </c>
      <c r="B90">
        <v>2025</v>
      </c>
      <c r="C90" t="s">
        <v>290</v>
      </c>
      <c r="D90" t="s">
        <v>298</v>
      </c>
      <c r="E90" s="19">
        <v>66</v>
      </c>
      <c r="F90" t="s">
        <v>267</v>
      </c>
      <c r="G90" t="s">
        <v>299</v>
      </c>
    </row>
    <row r="91" spans="1:7" x14ac:dyDescent="0.3">
      <c r="A91" t="s">
        <v>281</v>
      </c>
      <c r="B91">
        <v>2025</v>
      </c>
      <c r="C91" t="s">
        <v>291</v>
      </c>
      <c r="D91" t="s">
        <v>298</v>
      </c>
      <c r="E91" s="19">
        <v>66</v>
      </c>
      <c r="F91" t="s">
        <v>267</v>
      </c>
      <c r="G91" t="s">
        <v>299</v>
      </c>
    </row>
    <row r="92" spans="1:7" x14ac:dyDescent="0.3">
      <c r="A92" t="s">
        <v>282</v>
      </c>
      <c r="B92">
        <v>2025</v>
      </c>
      <c r="C92" t="s">
        <v>292</v>
      </c>
      <c r="D92" t="s">
        <v>298</v>
      </c>
      <c r="E92" s="19">
        <v>66</v>
      </c>
      <c r="F92" t="s">
        <v>267</v>
      </c>
      <c r="G92" t="s">
        <v>299</v>
      </c>
    </row>
    <row r="93" spans="1:7" x14ac:dyDescent="0.3">
      <c r="A93" t="s">
        <v>282</v>
      </c>
      <c r="B93">
        <v>2025</v>
      </c>
      <c r="C93" t="s">
        <v>293</v>
      </c>
      <c r="D93" t="s">
        <v>298</v>
      </c>
      <c r="E93" s="19">
        <v>66</v>
      </c>
      <c r="F93" t="s">
        <v>267</v>
      </c>
      <c r="G93" t="s">
        <v>299</v>
      </c>
    </row>
    <row r="94" spans="1:7" x14ac:dyDescent="0.3">
      <c r="A94" t="s">
        <v>282</v>
      </c>
      <c r="B94">
        <v>2025</v>
      </c>
      <c r="C94" t="s">
        <v>294</v>
      </c>
      <c r="D94" t="s">
        <v>298</v>
      </c>
      <c r="E94" s="19">
        <v>66</v>
      </c>
      <c r="F94" t="s">
        <v>267</v>
      </c>
      <c r="G94" t="s">
        <v>299</v>
      </c>
    </row>
    <row r="95" spans="1:7" x14ac:dyDescent="0.3">
      <c r="A95" t="s">
        <v>283</v>
      </c>
      <c r="B95">
        <v>2025</v>
      </c>
      <c r="C95" t="s">
        <v>266</v>
      </c>
      <c r="D95" t="s">
        <v>298</v>
      </c>
      <c r="E95" s="19">
        <v>73</v>
      </c>
      <c r="F95" t="s">
        <v>267</v>
      </c>
      <c r="G95" t="s">
        <v>299</v>
      </c>
    </row>
    <row r="96" spans="1:7" x14ac:dyDescent="0.3">
      <c r="A96" t="s">
        <v>283</v>
      </c>
      <c r="B96">
        <v>2025</v>
      </c>
      <c r="C96" t="s">
        <v>275</v>
      </c>
      <c r="D96" t="s">
        <v>298</v>
      </c>
      <c r="E96" s="19">
        <v>73</v>
      </c>
      <c r="F96" t="s">
        <v>267</v>
      </c>
      <c r="G96" t="s">
        <v>299</v>
      </c>
    </row>
    <row r="97" spans="1:7" x14ac:dyDescent="0.3">
      <c r="A97" t="s">
        <v>283</v>
      </c>
      <c r="B97">
        <v>2025</v>
      </c>
      <c r="C97" t="s">
        <v>280</v>
      </c>
      <c r="D97" t="s">
        <v>298</v>
      </c>
      <c r="E97" s="19">
        <v>73</v>
      </c>
      <c r="F97" t="s">
        <v>267</v>
      </c>
      <c r="G97" t="s">
        <v>299</v>
      </c>
    </row>
    <row r="98" spans="1:7" x14ac:dyDescent="0.3">
      <c r="A98" t="s">
        <v>284</v>
      </c>
      <c r="B98">
        <v>2025</v>
      </c>
      <c r="C98" t="s">
        <v>285</v>
      </c>
      <c r="D98" t="s">
        <v>298</v>
      </c>
      <c r="E98" s="19">
        <v>73</v>
      </c>
      <c r="F98" t="s">
        <v>267</v>
      </c>
      <c r="G98" t="s">
        <v>299</v>
      </c>
    </row>
    <row r="99" spans="1:7" x14ac:dyDescent="0.3">
      <c r="A99" t="s">
        <v>284</v>
      </c>
      <c r="B99">
        <v>2025</v>
      </c>
      <c r="C99" t="s">
        <v>287</v>
      </c>
      <c r="D99" t="s">
        <v>298</v>
      </c>
      <c r="E99" s="19">
        <v>73</v>
      </c>
      <c r="F99" t="s">
        <v>267</v>
      </c>
      <c r="G99" t="s">
        <v>299</v>
      </c>
    </row>
    <row r="100" spans="1:7" x14ac:dyDescent="0.3">
      <c r="A100" t="s">
        <v>284</v>
      </c>
      <c r="B100">
        <v>2025</v>
      </c>
      <c r="C100" t="s">
        <v>288</v>
      </c>
      <c r="D100" t="s">
        <v>298</v>
      </c>
      <c r="E100" s="19">
        <v>73</v>
      </c>
      <c r="F100" t="s">
        <v>267</v>
      </c>
      <c r="G100" t="s">
        <v>299</v>
      </c>
    </row>
    <row r="101" spans="1:7" x14ac:dyDescent="0.3">
      <c r="A101" t="s">
        <v>286</v>
      </c>
      <c r="B101">
        <v>2025</v>
      </c>
      <c r="C101" t="s">
        <v>266</v>
      </c>
      <c r="D101" t="s">
        <v>300</v>
      </c>
      <c r="E101" s="19">
        <v>116</v>
      </c>
      <c r="F101" t="s">
        <v>8</v>
      </c>
      <c r="G101" t="s">
        <v>301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38E4-8544-486B-84A6-0A1F42A31997}">
  <dimension ref="A1:F366"/>
  <sheetViews>
    <sheetView zoomScale="92" zoomScaleNormal="92" workbookViewId="0">
      <selection activeCell="F336" sqref="F336:F366"/>
    </sheetView>
  </sheetViews>
  <sheetFormatPr baseColWidth="10" defaultRowHeight="14.4" x14ac:dyDescent="0.3"/>
  <cols>
    <col min="1" max="1" width="19.33203125" customWidth="1"/>
    <col min="3" max="3" width="15.109375" customWidth="1"/>
    <col min="4" max="4" width="17.109375" customWidth="1"/>
    <col min="5" max="5" width="16.77734375" customWidth="1"/>
  </cols>
  <sheetData>
    <row r="1" spans="1:6" x14ac:dyDescent="0.3">
      <c r="A1" t="s">
        <v>2</v>
      </c>
      <c r="B1" t="s">
        <v>302</v>
      </c>
      <c r="C1" t="s">
        <v>426</v>
      </c>
      <c r="D1" t="s">
        <v>446</v>
      </c>
      <c r="E1" t="s">
        <v>447</v>
      </c>
      <c r="F1" t="s">
        <v>303</v>
      </c>
    </row>
    <row r="2" spans="1:6" x14ac:dyDescent="0.3">
      <c r="A2" s="1">
        <v>45658</v>
      </c>
      <c r="B2">
        <v>2025</v>
      </c>
      <c r="C2" t="s">
        <v>168</v>
      </c>
      <c r="D2" t="s">
        <v>422</v>
      </c>
      <c r="E2">
        <v>1</v>
      </c>
      <c r="F2" t="s">
        <v>266</v>
      </c>
    </row>
    <row r="3" spans="1:6" x14ac:dyDescent="0.3">
      <c r="A3" s="1">
        <v>45659</v>
      </c>
      <c r="B3">
        <v>2025</v>
      </c>
      <c r="C3" t="s">
        <v>168</v>
      </c>
      <c r="D3" t="s">
        <v>422</v>
      </c>
      <c r="E3">
        <v>2</v>
      </c>
      <c r="F3" t="s">
        <v>266</v>
      </c>
    </row>
    <row r="4" spans="1:6" x14ac:dyDescent="0.3">
      <c r="A4" s="1">
        <v>45660</v>
      </c>
      <c r="B4">
        <v>2025</v>
      </c>
      <c r="C4" t="s">
        <v>168</v>
      </c>
      <c r="D4" t="s">
        <v>422</v>
      </c>
      <c r="E4">
        <v>3</v>
      </c>
      <c r="F4" t="s">
        <v>266</v>
      </c>
    </row>
    <row r="5" spans="1:6" x14ac:dyDescent="0.3">
      <c r="A5" s="1">
        <v>45661</v>
      </c>
      <c r="B5">
        <v>2025</v>
      </c>
      <c r="C5" t="s">
        <v>168</v>
      </c>
      <c r="D5" t="s">
        <v>422</v>
      </c>
      <c r="E5">
        <v>4</v>
      </c>
      <c r="F5" t="s">
        <v>266</v>
      </c>
    </row>
    <row r="6" spans="1:6" x14ac:dyDescent="0.3">
      <c r="A6" s="1">
        <v>45662</v>
      </c>
      <c r="B6">
        <v>2025</v>
      </c>
      <c r="C6" t="s">
        <v>168</v>
      </c>
      <c r="D6" t="s">
        <v>422</v>
      </c>
      <c r="E6">
        <v>5</v>
      </c>
      <c r="F6" t="s">
        <v>266</v>
      </c>
    </row>
    <row r="7" spans="1:6" x14ac:dyDescent="0.3">
      <c r="A7" s="1">
        <v>45663</v>
      </c>
      <c r="B7">
        <v>2025</v>
      </c>
      <c r="C7" t="s">
        <v>168</v>
      </c>
      <c r="D7" t="s">
        <v>422</v>
      </c>
      <c r="E7">
        <v>6</v>
      </c>
      <c r="F7" t="s">
        <v>266</v>
      </c>
    </row>
    <row r="8" spans="1:6" x14ac:dyDescent="0.3">
      <c r="A8" s="1">
        <v>45664</v>
      </c>
      <c r="B8">
        <v>2025</v>
      </c>
      <c r="C8" t="s">
        <v>168</v>
      </c>
      <c r="D8" t="s">
        <v>422</v>
      </c>
      <c r="E8">
        <v>7</v>
      </c>
      <c r="F8" t="s">
        <v>266</v>
      </c>
    </row>
    <row r="9" spans="1:6" x14ac:dyDescent="0.3">
      <c r="A9" s="1">
        <v>45665</v>
      </c>
      <c r="B9">
        <v>2025</v>
      </c>
      <c r="C9" t="s">
        <v>168</v>
      </c>
      <c r="D9" t="s">
        <v>422</v>
      </c>
      <c r="E9">
        <v>8</v>
      </c>
      <c r="F9" t="s">
        <v>266</v>
      </c>
    </row>
    <row r="10" spans="1:6" x14ac:dyDescent="0.3">
      <c r="A10" s="1">
        <v>45666</v>
      </c>
      <c r="B10">
        <v>2025</v>
      </c>
      <c r="C10" t="s">
        <v>168</v>
      </c>
      <c r="D10" t="s">
        <v>422</v>
      </c>
      <c r="E10">
        <v>9</v>
      </c>
      <c r="F10" t="s">
        <v>266</v>
      </c>
    </row>
    <row r="11" spans="1:6" x14ac:dyDescent="0.3">
      <c r="A11" s="1">
        <v>45667</v>
      </c>
      <c r="B11">
        <v>2025</v>
      </c>
      <c r="C11" t="s">
        <v>168</v>
      </c>
      <c r="D11" t="s">
        <v>422</v>
      </c>
      <c r="E11">
        <v>10</v>
      </c>
      <c r="F11" t="s">
        <v>266</v>
      </c>
    </row>
    <row r="12" spans="1:6" x14ac:dyDescent="0.3">
      <c r="A12" s="1">
        <v>45668</v>
      </c>
      <c r="B12">
        <v>2025</v>
      </c>
      <c r="C12" t="s">
        <v>168</v>
      </c>
      <c r="D12" t="s">
        <v>422</v>
      </c>
      <c r="E12">
        <v>11</v>
      </c>
      <c r="F12" t="s">
        <v>266</v>
      </c>
    </row>
    <row r="13" spans="1:6" x14ac:dyDescent="0.3">
      <c r="A13" s="1">
        <v>45669</v>
      </c>
      <c r="B13">
        <v>2025</v>
      </c>
      <c r="C13" t="s">
        <v>168</v>
      </c>
      <c r="D13" t="s">
        <v>422</v>
      </c>
      <c r="E13">
        <v>12</v>
      </c>
      <c r="F13" t="s">
        <v>266</v>
      </c>
    </row>
    <row r="14" spans="1:6" x14ac:dyDescent="0.3">
      <c r="A14" s="1">
        <v>45670</v>
      </c>
      <c r="B14">
        <v>2025</v>
      </c>
      <c r="C14" t="s">
        <v>168</v>
      </c>
      <c r="D14" t="s">
        <v>422</v>
      </c>
      <c r="E14">
        <v>13</v>
      </c>
      <c r="F14" t="s">
        <v>266</v>
      </c>
    </row>
    <row r="15" spans="1:6" x14ac:dyDescent="0.3">
      <c r="A15" s="1">
        <v>45671</v>
      </c>
      <c r="B15">
        <v>2025</v>
      </c>
      <c r="C15" t="s">
        <v>168</v>
      </c>
      <c r="D15" t="s">
        <v>422</v>
      </c>
      <c r="E15">
        <v>14</v>
      </c>
      <c r="F15" t="s">
        <v>266</v>
      </c>
    </row>
    <row r="16" spans="1:6" x14ac:dyDescent="0.3">
      <c r="A16" s="1">
        <v>45672</v>
      </c>
      <c r="B16">
        <v>2025</v>
      </c>
      <c r="C16" t="s">
        <v>168</v>
      </c>
      <c r="D16" t="s">
        <v>422</v>
      </c>
      <c r="E16">
        <v>15</v>
      </c>
      <c r="F16" t="s">
        <v>266</v>
      </c>
    </row>
    <row r="17" spans="1:6" x14ac:dyDescent="0.3">
      <c r="A17" s="1">
        <v>45673</v>
      </c>
      <c r="B17">
        <v>2025</v>
      </c>
      <c r="C17" t="s">
        <v>168</v>
      </c>
      <c r="D17" t="s">
        <v>422</v>
      </c>
      <c r="E17">
        <v>16</v>
      </c>
      <c r="F17" t="s">
        <v>266</v>
      </c>
    </row>
    <row r="18" spans="1:6" x14ac:dyDescent="0.3">
      <c r="A18" s="1">
        <v>45674</v>
      </c>
      <c r="B18">
        <v>2025</v>
      </c>
      <c r="C18" t="s">
        <v>168</v>
      </c>
      <c r="D18" t="s">
        <v>422</v>
      </c>
      <c r="E18">
        <v>17</v>
      </c>
      <c r="F18" t="s">
        <v>266</v>
      </c>
    </row>
    <row r="19" spans="1:6" x14ac:dyDescent="0.3">
      <c r="A19" s="1">
        <v>45675</v>
      </c>
      <c r="B19">
        <v>2025</v>
      </c>
      <c r="C19" t="s">
        <v>168</v>
      </c>
      <c r="D19" t="s">
        <v>422</v>
      </c>
      <c r="E19">
        <v>18</v>
      </c>
      <c r="F19" t="s">
        <v>266</v>
      </c>
    </row>
    <row r="20" spans="1:6" x14ac:dyDescent="0.3">
      <c r="A20" s="1">
        <v>45676</v>
      </c>
      <c r="B20">
        <v>2025</v>
      </c>
      <c r="C20" t="s">
        <v>168</v>
      </c>
      <c r="D20" t="s">
        <v>422</v>
      </c>
      <c r="E20">
        <v>19</v>
      </c>
      <c r="F20" t="s">
        <v>266</v>
      </c>
    </row>
    <row r="21" spans="1:6" x14ac:dyDescent="0.3">
      <c r="A21" s="1">
        <v>45677</v>
      </c>
      <c r="B21">
        <v>2025</v>
      </c>
      <c r="C21" t="s">
        <v>168</v>
      </c>
      <c r="D21" t="s">
        <v>422</v>
      </c>
      <c r="E21">
        <v>20</v>
      </c>
      <c r="F21" t="s">
        <v>266</v>
      </c>
    </row>
    <row r="22" spans="1:6" x14ac:dyDescent="0.3">
      <c r="A22" s="1">
        <v>45678</v>
      </c>
      <c r="B22">
        <v>2025</v>
      </c>
      <c r="C22" t="s">
        <v>168</v>
      </c>
      <c r="D22" t="s">
        <v>422</v>
      </c>
      <c r="E22">
        <v>21</v>
      </c>
      <c r="F22" t="s">
        <v>266</v>
      </c>
    </row>
    <row r="23" spans="1:6" x14ac:dyDescent="0.3">
      <c r="A23" s="1">
        <v>45679</v>
      </c>
      <c r="B23">
        <v>2025</v>
      </c>
      <c r="C23" t="s">
        <v>168</v>
      </c>
      <c r="D23" t="s">
        <v>422</v>
      </c>
      <c r="E23">
        <v>22</v>
      </c>
      <c r="F23" t="s">
        <v>266</v>
      </c>
    </row>
    <row r="24" spans="1:6" x14ac:dyDescent="0.3">
      <c r="A24" s="1">
        <v>45680</v>
      </c>
      <c r="B24">
        <v>2025</v>
      </c>
      <c r="C24" t="s">
        <v>168</v>
      </c>
      <c r="D24" t="s">
        <v>422</v>
      </c>
      <c r="E24">
        <v>23</v>
      </c>
      <c r="F24" t="s">
        <v>266</v>
      </c>
    </row>
    <row r="25" spans="1:6" x14ac:dyDescent="0.3">
      <c r="A25" s="1">
        <v>45681</v>
      </c>
      <c r="B25">
        <v>2025</v>
      </c>
      <c r="C25" t="s">
        <v>168</v>
      </c>
      <c r="D25" t="s">
        <v>422</v>
      </c>
      <c r="E25">
        <v>24</v>
      </c>
      <c r="F25" t="s">
        <v>266</v>
      </c>
    </row>
    <row r="26" spans="1:6" x14ac:dyDescent="0.3">
      <c r="A26" s="1">
        <v>45682</v>
      </c>
      <c r="B26">
        <v>2025</v>
      </c>
      <c r="C26" t="s">
        <v>168</v>
      </c>
      <c r="D26" t="s">
        <v>422</v>
      </c>
      <c r="E26">
        <v>25</v>
      </c>
      <c r="F26" t="s">
        <v>266</v>
      </c>
    </row>
    <row r="27" spans="1:6" x14ac:dyDescent="0.3">
      <c r="A27" s="1">
        <v>45683</v>
      </c>
      <c r="B27">
        <v>2025</v>
      </c>
      <c r="C27" t="s">
        <v>168</v>
      </c>
      <c r="D27" t="s">
        <v>422</v>
      </c>
      <c r="E27">
        <v>26</v>
      </c>
      <c r="F27" t="s">
        <v>266</v>
      </c>
    </row>
    <row r="28" spans="1:6" x14ac:dyDescent="0.3">
      <c r="A28" s="1">
        <v>45684</v>
      </c>
      <c r="B28">
        <v>2025</v>
      </c>
      <c r="C28" t="s">
        <v>168</v>
      </c>
      <c r="D28" t="s">
        <v>422</v>
      </c>
      <c r="E28">
        <v>27</v>
      </c>
      <c r="F28" t="s">
        <v>266</v>
      </c>
    </row>
    <row r="29" spans="1:6" x14ac:dyDescent="0.3">
      <c r="A29" s="1">
        <v>45685</v>
      </c>
      <c r="B29">
        <v>2025</v>
      </c>
      <c r="C29" t="s">
        <v>168</v>
      </c>
      <c r="D29" t="s">
        <v>422</v>
      </c>
      <c r="E29">
        <v>28</v>
      </c>
      <c r="F29" t="s">
        <v>266</v>
      </c>
    </row>
    <row r="30" spans="1:6" x14ac:dyDescent="0.3">
      <c r="A30" s="1">
        <v>45686</v>
      </c>
      <c r="B30">
        <v>2025</v>
      </c>
      <c r="C30" t="s">
        <v>168</v>
      </c>
      <c r="D30" t="s">
        <v>422</v>
      </c>
      <c r="E30">
        <v>29</v>
      </c>
      <c r="F30" t="s">
        <v>266</v>
      </c>
    </row>
    <row r="31" spans="1:6" x14ac:dyDescent="0.3">
      <c r="A31" s="1">
        <v>45687</v>
      </c>
      <c r="B31">
        <v>2025</v>
      </c>
      <c r="C31" t="s">
        <v>168</v>
      </c>
      <c r="D31" t="s">
        <v>422</v>
      </c>
      <c r="E31">
        <v>30</v>
      </c>
      <c r="F31" t="s">
        <v>266</v>
      </c>
    </row>
    <row r="32" spans="1:6" x14ac:dyDescent="0.3">
      <c r="A32" s="1">
        <v>45688</v>
      </c>
      <c r="B32">
        <v>2025</v>
      </c>
      <c r="C32" t="s">
        <v>168</v>
      </c>
      <c r="D32" t="s">
        <v>422</v>
      </c>
      <c r="E32">
        <v>31</v>
      </c>
      <c r="F32" t="s">
        <v>266</v>
      </c>
    </row>
    <row r="33" spans="1:6" x14ac:dyDescent="0.3">
      <c r="A33" s="1">
        <v>45689</v>
      </c>
      <c r="B33">
        <v>2025</v>
      </c>
      <c r="C33" t="s">
        <v>168</v>
      </c>
      <c r="D33" t="s">
        <v>423</v>
      </c>
      <c r="E33">
        <v>1</v>
      </c>
      <c r="F33" t="s">
        <v>275</v>
      </c>
    </row>
    <row r="34" spans="1:6" x14ac:dyDescent="0.3">
      <c r="A34" s="1">
        <v>45690</v>
      </c>
      <c r="B34">
        <v>2025</v>
      </c>
      <c r="C34" t="s">
        <v>168</v>
      </c>
      <c r="D34" t="s">
        <v>423</v>
      </c>
      <c r="E34">
        <v>2</v>
      </c>
      <c r="F34" t="s">
        <v>275</v>
      </c>
    </row>
    <row r="35" spans="1:6" x14ac:dyDescent="0.3">
      <c r="A35" s="1">
        <v>45691</v>
      </c>
      <c r="B35">
        <v>2025</v>
      </c>
      <c r="C35" t="s">
        <v>168</v>
      </c>
      <c r="D35" t="s">
        <v>423</v>
      </c>
      <c r="E35">
        <v>3</v>
      </c>
      <c r="F35" t="s">
        <v>275</v>
      </c>
    </row>
    <row r="36" spans="1:6" x14ac:dyDescent="0.3">
      <c r="A36" s="1">
        <v>45692</v>
      </c>
      <c r="B36">
        <v>2025</v>
      </c>
      <c r="C36" t="s">
        <v>168</v>
      </c>
      <c r="D36" t="s">
        <v>423</v>
      </c>
      <c r="E36">
        <v>4</v>
      </c>
      <c r="F36" t="s">
        <v>275</v>
      </c>
    </row>
    <row r="37" spans="1:6" x14ac:dyDescent="0.3">
      <c r="A37" s="1">
        <v>45693</v>
      </c>
      <c r="B37">
        <v>2025</v>
      </c>
      <c r="C37" t="s">
        <v>168</v>
      </c>
      <c r="D37" t="s">
        <v>423</v>
      </c>
      <c r="E37">
        <v>5</v>
      </c>
      <c r="F37" t="s">
        <v>275</v>
      </c>
    </row>
    <row r="38" spans="1:6" x14ac:dyDescent="0.3">
      <c r="A38" s="1">
        <v>45694</v>
      </c>
      <c r="B38">
        <v>2025</v>
      </c>
      <c r="C38" t="s">
        <v>168</v>
      </c>
      <c r="D38" t="s">
        <v>423</v>
      </c>
      <c r="E38">
        <v>6</v>
      </c>
      <c r="F38" t="s">
        <v>275</v>
      </c>
    </row>
    <row r="39" spans="1:6" x14ac:dyDescent="0.3">
      <c r="A39" s="1">
        <v>45695</v>
      </c>
      <c r="B39">
        <v>2025</v>
      </c>
      <c r="C39" t="s">
        <v>168</v>
      </c>
      <c r="D39" t="s">
        <v>423</v>
      </c>
      <c r="E39">
        <v>7</v>
      </c>
      <c r="F39" t="s">
        <v>275</v>
      </c>
    </row>
    <row r="40" spans="1:6" x14ac:dyDescent="0.3">
      <c r="A40" s="1">
        <v>45696</v>
      </c>
      <c r="B40">
        <v>2025</v>
      </c>
      <c r="C40" t="s">
        <v>168</v>
      </c>
      <c r="D40" t="s">
        <v>423</v>
      </c>
      <c r="E40">
        <v>8</v>
      </c>
      <c r="F40" t="s">
        <v>275</v>
      </c>
    </row>
    <row r="41" spans="1:6" x14ac:dyDescent="0.3">
      <c r="A41" s="1">
        <v>45697</v>
      </c>
      <c r="B41">
        <v>2025</v>
      </c>
      <c r="C41" t="s">
        <v>168</v>
      </c>
      <c r="D41" t="s">
        <v>423</v>
      </c>
      <c r="E41">
        <v>9</v>
      </c>
      <c r="F41" t="s">
        <v>275</v>
      </c>
    </row>
    <row r="42" spans="1:6" x14ac:dyDescent="0.3">
      <c r="A42" s="1">
        <v>45698</v>
      </c>
      <c r="B42">
        <v>2025</v>
      </c>
      <c r="C42" t="s">
        <v>168</v>
      </c>
      <c r="D42" t="s">
        <v>423</v>
      </c>
      <c r="E42">
        <v>10</v>
      </c>
      <c r="F42" t="s">
        <v>275</v>
      </c>
    </row>
    <row r="43" spans="1:6" x14ac:dyDescent="0.3">
      <c r="A43" s="1">
        <v>45699</v>
      </c>
      <c r="B43">
        <v>2025</v>
      </c>
      <c r="C43" t="s">
        <v>168</v>
      </c>
      <c r="D43" t="s">
        <v>423</v>
      </c>
      <c r="E43">
        <v>11</v>
      </c>
      <c r="F43" t="s">
        <v>275</v>
      </c>
    </row>
    <row r="44" spans="1:6" x14ac:dyDescent="0.3">
      <c r="A44" s="1">
        <v>45700</v>
      </c>
      <c r="B44">
        <v>2025</v>
      </c>
      <c r="C44" t="s">
        <v>168</v>
      </c>
      <c r="D44" t="s">
        <v>423</v>
      </c>
      <c r="E44">
        <v>12</v>
      </c>
      <c r="F44" t="s">
        <v>275</v>
      </c>
    </row>
    <row r="45" spans="1:6" x14ac:dyDescent="0.3">
      <c r="A45" s="1">
        <v>45701</v>
      </c>
      <c r="B45">
        <v>2025</v>
      </c>
      <c r="C45" t="s">
        <v>168</v>
      </c>
      <c r="D45" t="s">
        <v>423</v>
      </c>
      <c r="E45">
        <v>13</v>
      </c>
      <c r="F45" t="s">
        <v>275</v>
      </c>
    </row>
    <row r="46" spans="1:6" x14ac:dyDescent="0.3">
      <c r="A46" s="1">
        <v>45702</v>
      </c>
      <c r="B46">
        <v>2025</v>
      </c>
      <c r="C46" t="s">
        <v>168</v>
      </c>
      <c r="D46" t="s">
        <v>423</v>
      </c>
      <c r="E46">
        <v>14</v>
      </c>
      <c r="F46" t="s">
        <v>275</v>
      </c>
    </row>
    <row r="47" spans="1:6" x14ac:dyDescent="0.3">
      <c r="A47" s="1">
        <v>45703</v>
      </c>
      <c r="B47">
        <v>2025</v>
      </c>
      <c r="C47" t="s">
        <v>168</v>
      </c>
      <c r="D47" t="s">
        <v>423</v>
      </c>
      <c r="E47">
        <v>15</v>
      </c>
      <c r="F47" t="s">
        <v>275</v>
      </c>
    </row>
    <row r="48" spans="1:6" x14ac:dyDescent="0.3">
      <c r="A48" s="1">
        <v>45704</v>
      </c>
      <c r="B48">
        <v>2025</v>
      </c>
      <c r="C48" t="s">
        <v>168</v>
      </c>
      <c r="D48" t="s">
        <v>423</v>
      </c>
      <c r="E48">
        <v>16</v>
      </c>
      <c r="F48" t="s">
        <v>275</v>
      </c>
    </row>
    <row r="49" spans="1:6" x14ac:dyDescent="0.3">
      <c r="A49" s="1">
        <v>45705</v>
      </c>
      <c r="B49">
        <v>2025</v>
      </c>
      <c r="C49" t="s">
        <v>168</v>
      </c>
      <c r="D49" t="s">
        <v>423</v>
      </c>
      <c r="E49">
        <v>17</v>
      </c>
      <c r="F49" t="s">
        <v>275</v>
      </c>
    </row>
    <row r="50" spans="1:6" x14ac:dyDescent="0.3">
      <c r="A50" s="1">
        <v>45706</v>
      </c>
      <c r="B50">
        <v>2025</v>
      </c>
      <c r="C50" t="s">
        <v>168</v>
      </c>
      <c r="D50" t="s">
        <v>423</v>
      </c>
      <c r="E50">
        <v>18</v>
      </c>
      <c r="F50" t="s">
        <v>275</v>
      </c>
    </row>
    <row r="51" spans="1:6" x14ac:dyDescent="0.3">
      <c r="A51" s="1">
        <v>45707</v>
      </c>
      <c r="B51">
        <v>2025</v>
      </c>
      <c r="C51" t="s">
        <v>168</v>
      </c>
      <c r="D51" t="s">
        <v>423</v>
      </c>
      <c r="E51">
        <v>19</v>
      </c>
      <c r="F51" t="s">
        <v>275</v>
      </c>
    </row>
    <row r="52" spans="1:6" x14ac:dyDescent="0.3">
      <c r="A52" s="1">
        <v>45708</v>
      </c>
      <c r="B52">
        <v>2025</v>
      </c>
      <c r="C52" t="s">
        <v>168</v>
      </c>
      <c r="D52" t="s">
        <v>423</v>
      </c>
      <c r="E52">
        <v>20</v>
      </c>
      <c r="F52" t="s">
        <v>275</v>
      </c>
    </row>
    <row r="53" spans="1:6" x14ac:dyDescent="0.3">
      <c r="A53" s="1">
        <v>45709</v>
      </c>
      <c r="B53">
        <v>2025</v>
      </c>
      <c r="C53" t="s">
        <v>168</v>
      </c>
      <c r="D53" t="s">
        <v>423</v>
      </c>
      <c r="E53">
        <v>21</v>
      </c>
      <c r="F53" t="s">
        <v>275</v>
      </c>
    </row>
    <row r="54" spans="1:6" x14ac:dyDescent="0.3">
      <c r="A54" s="1">
        <v>45710</v>
      </c>
      <c r="B54">
        <v>2025</v>
      </c>
      <c r="C54" t="s">
        <v>168</v>
      </c>
      <c r="D54" t="s">
        <v>423</v>
      </c>
      <c r="E54">
        <v>22</v>
      </c>
      <c r="F54" t="s">
        <v>275</v>
      </c>
    </row>
    <row r="55" spans="1:6" x14ac:dyDescent="0.3">
      <c r="A55" s="1">
        <v>45711</v>
      </c>
      <c r="B55">
        <v>2025</v>
      </c>
      <c r="C55" t="s">
        <v>168</v>
      </c>
      <c r="D55" t="s">
        <v>423</v>
      </c>
      <c r="E55">
        <v>23</v>
      </c>
      <c r="F55" t="s">
        <v>275</v>
      </c>
    </row>
    <row r="56" spans="1:6" x14ac:dyDescent="0.3">
      <c r="A56" s="1">
        <v>45712</v>
      </c>
      <c r="B56">
        <v>2025</v>
      </c>
      <c r="C56" t="s">
        <v>168</v>
      </c>
      <c r="D56" t="s">
        <v>423</v>
      </c>
      <c r="E56">
        <v>24</v>
      </c>
      <c r="F56" t="s">
        <v>275</v>
      </c>
    </row>
    <row r="57" spans="1:6" x14ac:dyDescent="0.3">
      <c r="A57" s="1">
        <v>45713</v>
      </c>
      <c r="B57">
        <v>2025</v>
      </c>
      <c r="C57" t="s">
        <v>168</v>
      </c>
      <c r="D57" t="s">
        <v>423</v>
      </c>
      <c r="E57">
        <v>25</v>
      </c>
      <c r="F57" t="s">
        <v>275</v>
      </c>
    </row>
    <row r="58" spans="1:6" x14ac:dyDescent="0.3">
      <c r="A58" s="1">
        <v>45714</v>
      </c>
      <c r="B58">
        <v>2025</v>
      </c>
      <c r="C58" t="s">
        <v>168</v>
      </c>
      <c r="D58" t="s">
        <v>423</v>
      </c>
      <c r="E58">
        <v>26</v>
      </c>
      <c r="F58" t="s">
        <v>275</v>
      </c>
    </row>
    <row r="59" spans="1:6" x14ac:dyDescent="0.3">
      <c r="A59" s="1">
        <v>45715</v>
      </c>
      <c r="B59">
        <v>2025</v>
      </c>
      <c r="C59" t="s">
        <v>168</v>
      </c>
      <c r="D59" t="s">
        <v>423</v>
      </c>
      <c r="E59">
        <v>27</v>
      </c>
      <c r="F59" t="s">
        <v>275</v>
      </c>
    </row>
    <row r="60" spans="1:6" x14ac:dyDescent="0.3">
      <c r="A60" s="1">
        <v>45716</v>
      </c>
      <c r="B60">
        <v>2025</v>
      </c>
      <c r="C60" t="s">
        <v>168</v>
      </c>
      <c r="D60" t="s">
        <v>423</v>
      </c>
      <c r="E60">
        <v>28</v>
      </c>
      <c r="F60" t="s">
        <v>275</v>
      </c>
    </row>
    <row r="61" spans="1:6" x14ac:dyDescent="0.3">
      <c r="A61" s="1">
        <v>45717</v>
      </c>
      <c r="B61">
        <v>2025</v>
      </c>
      <c r="C61" t="s">
        <v>168</v>
      </c>
      <c r="D61" t="s">
        <v>424</v>
      </c>
      <c r="E61">
        <v>1</v>
      </c>
      <c r="F61" t="s">
        <v>280</v>
      </c>
    </row>
    <row r="62" spans="1:6" x14ac:dyDescent="0.3">
      <c r="A62" s="1">
        <v>45718</v>
      </c>
      <c r="B62">
        <v>2025</v>
      </c>
      <c r="C62" t="s">
        <v>168</v>
      </c>
      <c r="D62" t="s">
        <v>424</v>
      </c>
      <c r="E62">
        <v>2</v>
      </c>
      <c r="F62" t="s">
        <v>280</v>
      </c>
    </row>
    <row r="63" spans="1:6" x14ac:dyDescent="0.3">
      <c r="A63" s="1">
        <v>45719</v>
      </c>
      <c r="B63">
        <v>2025</v>
      </c>
      <c r="C63" t="s">
        <v>168</v>
      </c>
      <c r="D63" t="s">
        <v>424</v>
      </c>
      <c r="E63">
        <v>3</v>
      </c>
      <c r="F63" t="s">
        <v>280</v>
      </c>
    </row>
    <row r="64" spans="1:6" x14ac:dyDescent="0.3">
      <c r="A64" s="1">
        <v>45720</v>
      </c>
      <c r="B64">
        <v>2025</v>
      </c>
      <c r="C64" t="s">
        <v>168</v>
      </c>
      <c r="D64" t="s">
        <v>424</v>
      </c>
      <c r="E64">
        <v>4</v>
      </c>
      <c r="F64" t="s">
        <v>280</v>
      </c>
    </row>
    <row r="65" spans="1:6" x14ac:dyDescent="0.3">
      <c r="A65" s="1">
        <v>45721</v>
      </c>
      <c r="B65">
        <v>2025</v>
      </c>
      <c r="C65" t="s">
        <v>168</v>
      </c>
      <c r="D65" t="s">
        <v>424</v>
      </c>
      <c r="E65">
        <v>5</v>
      </c>
      <c r="F65" t="s">
        <v>280</v>
      </c>
    </row>
    <row r="66" spans="1:6" x14ac:dyDescent="0.3">
      <c r="A66" s="1">
        <v>45722</v>
      </c>
      <c r="B66">
        <v>2025</v>
      </c>
      <c r="C66" t="s">
        <v>168</v>
      </c>
      <c r="D66" t="s">
        <v>424</v>
      </c>
      <c r="E66">
        <v>6</v>
      </c>
      <c r="F66" t="s">
        <v>280</v>
      </c>
    </row>
    <row r="67" spans="1:6" x14ac:dyDescent="0.3">
      <c r="A67" s="1">
        <v>45723</v>
      </c>
      <c r="B67">
        <v>2025</v>
      </c>
      <c r="C67" t="s">
        <v>168</v>
      </c>
      <c r="D67" t="s">
        <v>424</v>
      </c>
      <c r="E67">
        <v>7</v>
      </c>
      <c r="F67" t="s">
        <v>280</v>
      </c>
    </row>
    <row r="68" spans="1:6" x14ac:dyDescent="0.3">
      <c r="A68" s="1">
        <v>45724</v>
      </c>
      <c r="B68">
        <v>2025</v>
      </c>
      <c r="C68" t="s">
        <v>168</v>
      </c>
      <c r="D68" t="s">
        <v>424</v>
      </c>
      <c r="E68">
        <v>8</v>
      </c>
      <c r="F68" t="s">
        <v>280</v>
      </c>
    </row>
    <row r="69" spans="1:6" x14ac:dyDescent="0.3">
      <c r="A69" s="1">
        <v>45725</v>
      </c>
      <c r="B69">
        <v>2025</v>
      </c>
      <c r="C69" t="s">
        <v>168</v>
      </c>
      <c r="D69" t="s">
        <v>424</v>
      </c>
      <c r="E69">
        <v>9</v>
      </c>
      <c r="F69" t="s">
        <v>280</v>
      </c>
    </row>
    <row r="70" spans="1:6" x14ac:dyDescent="0.3">
      <c r="A70" s="1">
        <v>45726</v>
      </c>
      <c r="B70">
        <v>2025</v>
      </c>
      <c r="C70" t="s">
        <v>168</v>
      </c>
      <c r="D70" t="s">
        <v>424</v>
      </c>
      <c r="E70">
        <v>10</v>
      </c>
      <c r="F70" t="s">
        <v>280</v>
      </c>
    </row>
    <row r="71" spans="1:6" x14ac:dyDescent="0.3">
      <c r="A71" s="1">
        <v>45727</v>
      </c>
      <c r="B71">
        <v>2025</v>
      </c>
      <c r="C71" t="s">
        <v>168</v>
      </c>
      <c r="D71" t="s">
        <v>424</v>
      </c>
      <c r="E71">
        <v>11</v>
      </c>
      <c r="F71" t="s">
        <v>280</v>
      </c>
    </row>
    <row r="72" spans="1:6" x14ac:dyDescent="0.3">
      <c r="A72" s="1">
        <v>45728</v>
      </c>
      <c r="B72">
        <v>2025</v>
      </c>
      <c r="C72" t="s">
        <v>168</v>
      </c>
      <c r="D72" t="s">
        <v>424</v>
      </c>
      <c r="E72">
        <v>12</v>
      </c>
      <c r="F72" t="s">
        <v>280</v>
      </c>
    </row>
    <row r="73" spans="1:6" x14ac:dyDescent="0.3">
      <c r="A73" s="1">
        <v>45729</v>
      </c>
      <c r="B73">
        <v>2025</v>
      </c>
      <c r="C73" t="s">
        <v>168</v>
      </c>
      <c r="D73" t="s">
        <v>424</v>
      </c>
      <c r="E73">
        <v>13</v>
      </c>
      <c r="F73" t="s">
        <v>280</v>
      </c>
    </row>
    <row r="74" spans="1:6" x14ac:dyDescent="0.3">
      <c r="A74" s="1">
        <v>45730</v>
      </c>
      <c r="B74">
        <v>2025</v>
      </c>
      <c r="C74" t="s">
        <v>168</v>
      </c>
      <c r="D74" t="s">
        <v>424</v>
      </c>
      <c r="E74">
        <v>14</v>
      </c>
      <c r="F74" t="s">
        <v>280</v>
      </c>
    </row>
    <row r="75" spans="1:6" x14ac:dyDescent="0.3">
      <c r="A75" s="1">
        <v>45731</v>
      </c>
      <c r="B75">
        <v>2025</v>
      </c>
      <c r="C75" t="s">
        <v>168</v>
      </c>
      <c r="D75" t="s">
        <v>424</v>
      </c>
      <c r="E75">
        <v>15</v>
      </c>
      <c r="F75" t="s">
        <v>280</v>
      </c>
    </row>
    <row r="76" spans="1:6" x14ac:dyDescent="0.3">
      <c r="A76" s="1">
        <v>45732</v>
      </c>
      <c r="B76">
        <v>2025</v>
      </c>
      <c r="C76" t="s">
        <v>168</v>
      </c>
      <c r="D76" t="s">
        <v>424</v>
      </c>
      <c r="E76">
        <v>16</v>
      </c>
      <c r="F76" t="s">
        <v>280</v>
      </c>
    </row>
    <row r="77" spans="1:6" x14ac:dyDescent="0.3">
      <c r="A77" s="1">
        <v>45733</v>
      </c>
      <c r="B77">
        <v>2025</v>
      </c>
      <c r="C77" t="s">
        <v>168</v>
      </c>
      <c r="D77" t="s">
        <v>424</v>
      </c>
      <c r="E77">
        <v>17</v>
      </c>
      <c r="F77" t="s">
        <v>280</v>
      </c>
    </row>
    <row r="78" spans="1:6" x14ac:dyDescent="0.3">
      <c r="A78" s="1">
        <v>45734</v>
      </c>
      <c r="B78">
        <v>2025</v>
      </c>
      <c r="C78" t="s">
        <v>168</v>
      </c>
      <c r="D78" t="s">
        <v>424</v>
      </c>
      <c r="E78">
        <v>18</v>
      </c>
      <c r="F78" t="s">
        <v>280</v>
      </c>
    </row>
    <row r="79" spans="1:6" x14ac:dyDescent="0.3">
      <c r="A79" s="1">
        <v>45735</v>
      </c>
      <c r="B79">
        <v>2025</v>
      </c>
      <c r="C79" t="s">
        <v>168</v>
      </c>
      <c r="D79" t="s">
        <v>424</v>
      </c>
      <c r="E79">
        <v>19</v>
      </c>
      <c r="F79" t="s">
        <v>280</v>
      </c>
    </row>
    <row r="80" spans="1:6" x14ac:dyDescent="0.3">
      <c r="A80" s="1">
        <v>45736</v>
      </c>
      <c r="B80">
        <v>2025</v>
      </c>
      <c r="C80" t="s">
        <v>168</v>
      </c>
      <c r="D80" t="s">
        <v>424</v>
      </c>
      <c r="E80">
        <v>20</v>
      </c>
      <c r="F80" t="s">
        <v>280</v>
      </c>
    </row>
    <row r="81" spans="1:6" x14ac:dyDescent="0.3">
      <c r="A81" s="1">
        <v>45737</v>
      </c>
      <c r="B81">
        <v>2025</v>
      </c>
      <c r="C81" t="s">
        <v>168</v>
      </c>
      <c r="D81" t="s">
        <v>424</v>
      </c>
      <c r="E81">
        <v>21</v>
      </c>
      <c r="F81" t="s">
        <v>280</v>
      </c>
    </row>
    <row r="82" spans="1:6" x14ac:dyDescent="0.3">
      <c r="A82" s="1">
        <v>45738</v>
      </c>
      <c r="B82">
        <v>2025</v>
      </c>
      <c r="C82" t="s">
        <v>168</v>
      </c>
      <c r="D82" t="s">
        <v>424</v>
      </c>
      <c r="E82">
        <v>22</v>
      </c>
      <c r="F82" t="s">
        <v>280</v>
      </c>
    </row>
    <row r="83" spans="1:6" x14ac:dyDescent="0.3">
      <c r="A83" s="1">
        <v>45739</v>
      </c>
      <c r="B83">
        <v>2025</v>
      </c>
      <c r="C83" t="s">
        <v>168</v>
      </c>
      <c r="D83" t="s">
        <v>424</v>
      </c>
      <c r="E83">
        <v>23</v>
      </c>
      <c r="F83" t="s">
        <v>280</v>
      </c>
    </row>
    <row r="84" spans="1:6" x14ac:dyDescent="0.3">
      <c r="A84" s="1">
        <v>45740</v>
      </c>
      <c r="B84">
        <v>2025</v>
      </c>
      <c r="C84" t="s">
        <v>168</v>
      </c>
      <c r="D84" t="s">
        <v>424</v>
      </c>
      <c r="E84">
        <v>24</v>
      </c>
      <c r="F84" t="s">
        <v>280</v>
      </c>
    </row>
    <row r="85" spans="1:6" x14ac:dyDescent="0.3">
      <c r="A85" s="1">
        <v>45741</v>
      </c>
      <c r="B85">
        <v>2025</v>
      </c>
      <c r="C85" t="s">
        <v>168</v>
      </c>
      <c r="D85" t="s">
        <v>424</v>
      </c>
      <c r="E85">
        <v>25</v>
      </c>
      <c r="F85" t="s">
        <v>280</v>
      </c>
    </row>
    <row r="86" spans="1:6" x14ac:dyDescent="0.3">
      <c r="A86" s="1">
        <v>45742</v>
      </c>
      <c r="B86">
        <v>2025</v>
      </c>
      <c r="C86" t="s">
        <v>168</v>
      </c>
      <c r="D86" t="s">
        <v>424</v>
      </c>
      <c r="E86">
        <v>26</v>
      </c>
      <c r="F86" t="s">
        <v>280</v>
      </c>
    </row>
    <row r="87" spans="1:6" x14ac:dyDescent="0.3">
      <c r="A87" s="1">
        <v>45743</v>
      </c>
      <c r="B87">
        <v>2025</v>
      </c>
      <c r="C87" t="s">
        <v>168</v>
      </c>
      <c r="D87" t="s">
        <v>424</v>
      </c>
      <c r="E87">
        <v>27</v>
      </c>
      <c r="F87" t="s">
        <v>280</v>
      </c>
    </row>
    <row r="88" spans="1:6" x14ac:dyDescent="0.3">
      <c r="A88" s="1">
        <v>45744</v>
      </c>
      <c r="B88">
        <v>2025</v>
      </c>
      <c r="C88" t="s">
        <v>168</v>
      </c>
      <c r="D88" t="s">
        <v>424</v>
      </c>
      <c r="E88">
        <v>28</v>
      </c>
      <c r="F88" t="s">
        <v>280</v>
      </c>
    </row>
    <row r="89" spans="1:6" x14ac:dyDescent="0.3">
      <c r="A89" s="1">
        <v>45745</v>
      </c>
      <c r="B89">
        <v>2025</v>
      </c>
      <c r="C89" t="s">
        <v>168</v>
      </c>
      <c r="D89" t="s">
        <v>424</v>
      </c>
      <c r="E89">
        <v>29</v>
      </c>
      <c r="F89" t="s">
        <v>280</v>
      </c>
    </row>
    <row r="90" spans="1:6" x14ac:dyDescent="0.3">
      <c r="A90" s="1">
        <v>45746</v>
      </c>
      <c r="B90">
        <v>2025</v>
      </c>
      <c r="C90" t="s">
        <v>168</v>
      </c>
      <c r="D90" t="s">
        <v>424</v>
      </c>
      <c r="E90">
        <v>30</v>
      </c>
      <c r="F90" t="s">
        <v>280</v>
      </c>
    </row>
    <row r="91" spans="1:6" x14ac:dyDescent="0.3">
      <c r="A91" s="1">
        <v>45747</v>
      </c>
      <c r="B91">
        <v>2025</v>
      </c>
      <c r="C91" t="s">
        <v>168</v>
      </c>
      <c r="D91" t="s">
        <v>424</v>
      </c>
      <c r="E91">
        <v>31</v>
      </c>
      <c r="F91" t="s">
        <v>280</v>
      </c>
    </row>
    <row r="92" spans="1:6" x14ac:dyDescent="0.3">
      <c r="A92" s="1">
        <v>45748</v>
      </c>
      <c r="B92">
        <v>2025</v>
      </c>
      <c r="C92" t="s">
        <v>182</v>
      </c>
      <c r="D92" t="s">
        <v>425</v>
      </c>
      <c r="E92">
        <v>1</v>
      </c>
      <c r="F92" t="s">
        <v>285</v>
      </c>
    </row>
    <row r="93" spans="1:6" x14ac:dyDescent="0.3">
      <c r="A93" s="1">
        <v>45749</v>
      </c>
      <c r="B93">
        <v>2025</v>
      </c>
      <c r="C93" t="s">
        <v>182</v>
      </c>
      <c r="D93" t="s">
        <v>425</v>
      </c>
      <c r="E93">
        <v>2</v>
      </c>
      <c r="F93" t="s">
        <v>285</v>
      </c>
    </row>
    <row r="94" spans="1:6" x14ac:dyDescent="0.3">
      <c r="A94" s="1">
        <v>45750</v>
      </c>
      <c r="B94">
        <v>2025</v>
      </c>
      <c r="C94" t="s">
        <v>182</v>
      </c>
      <c r="D94" t="s">
        <v>425</v>
      </c>
      <c r="E94">
        <v>3</v>
      </c>
      <c r="F94" t="s">
        <v>285</v>
      </c>
    </row>
    <row r="95" spans="1:6" x14ac:dyDescent="0.3">
      <c r="A95" s="1">
        <v>45751</v>
      </c>
      <c r="B95">
        <v>2025</v>
      </c>
      <c r="C95" t="s">
        <v>182</v>
      </c>
      <c r="D95" t="s">
        <v>425</v>
      </c>
      <c r="E95">
        <v>4</v>
      </c>
      <c r="F95" t="s">
        <v>285</v>
      </c>
    </row>
    <row r="96" spans="1:6" x14ac:dyDescent="0.3">
      <c r="A96" s="1">
        <v>45752</v>
      </c>
      <c r="B96">
        <v>2025</v>
      </c>
      <c r="C96" t="s">
        <v>182</v>
      </c>
      <c r="D96" t="s">
        <v>425</v>
      </c>
      <c r="E96">
        <v>5</v>
      </c>
      <c r="F96" t="s">
        <v>285</v>
      </c>
    </row>
    <row r="97" spans="1:6" x14ac:dyDescent="0.3">
      <c r="A97" s="1">
        <v>45753</v>
      </c>
      <c r="B97">
        <v>2025</v>
      </c>
      <c r="C97" t="s">
        <v>182</v>
      </c>
      <c r="D97" t="s">
        <v>425</v>
      </c>
      <c r="E97">
        <v>6</v>
      </c>
      <c r="F97" t="s">
        <v>285</v>
      </c>
    </row>
    <row r="98" spans="1:6" x14ac:dyDescent="0.3">
      <c r="A98" s="1">
        <v>45754</v>
      </c>
      <c r="B98">
        <v>2025</v>
      </c>
      <c r="C98" t="s">
        <v>182</v>
      </c>
      <c r="D98" t="s">
        <v>425</v>
      </c>
      <c r="E98">
        <v>7</v>
      </c>
      <c r="F98" t="s">
        <v>285</v>
      </c>
    </row>
    <row r="99" spans="1:6" x14ac:dyDescent="0.3">
      <c r="A99" s="1">
        <v>45755</v>
      </c>
      <c r="B99">
        <v>2025</v>
      </c>
      <c r="C99" t="s">
        <v>182</v>
      </c>
      <c r="D99" t="s">
        <v>425</v>
      </c>
      <c r="E99">
        <v>8</v>
      </c>
      <c r="F99" t="s">
        <v>285</v>
      </c>
    </row>
    <row r="100" spans="1:6" x14ac:dyDescent="0.3">
      <c r="A100" s="1">
        <v>45756</v>
      </c>
      <c r="B100">
        <v>2025</v>
      </c>
      <c r="C100" t="s">
        <v>182</v>
      </c>
      <c r="D100" t="s">
        <v>425</v>
      </c>
      <c r="E100">
        <v>9</v>
      </c>
      <c r="F100" t="s">
        <v>285</v>
      </c>
    </row>
    <row r="101" spans="1:6" x14ac:dyDescent="0.3">
      <c r="A101" s="1">
        <v>45757</v>
      </c>
      <c r="B101">
        <v>2025</v>
      </c>
      <c r="C101" t="s">
        <v>182</v>
      </c>
      <c r="D101" t="s">
        <v>425</v>
      </c>
      <c r="E101">
        <v>10</v>
      </c>
      <c r="F101" t="s">
        <v>285</v>
      </c>
    </row>
    <row r="102" spans="1:6" x14ac:dyDescent="0.3">
      <c r="A102" s="1">
        <v>45758</v>
      </c>
      <c r="B102">
        <v>2025</v>
      </c>
      <c r="C102" t="s">
        <v>182</v>
      </c>
      <c r="D102" t="s">
        <v>425</v>
      </c>
      <c r="E102">
        <v>11</v>
      </c>
      <c r="F102" t="s">
        <v>285</v>
      </c>
    </row>
    <row r="103" spans="1:6" x14ac:dyDescent="0.3">
      <c r="A103" s="1">
        <v>45759</v>
      </c>
      <c r="B103">
        <v>2025</v>
      </c>
      <c r="C103" t="s">
        <v>182</v>
      </c>
      <c r="D103" t="s">
        <v>425</v>
      </c>
      <c r="E103">
        <v>12</v>
      </c>
      <c r="F103" t="s">
        <v>285</v>
      </c>
    </row>
    <row r="104" spans="1:6" x14ac:dyDescent="0.3">
      <c r="A104" s="1">
        <v>45760</v>
      </c>
      <c r="B104">
        <v>2025</v>
      </c>
      <c r="C104" t="s">
        <v>182</v>
      </c>
      <c r="D104" t="s">
        <v>425</v>
      </c>
      <c r="E104">
        <v>13</v>
      </c>
      <c r="F104" t="s">
        <v>285</v>
      </c>
    </row>
    <row r="105" spans="1:6" x14ac:dyDescent="0.3">
      <c r="A105" s="1">
        <v>45761</v>
      </c>
      <c r="B105">
        <v>2025</v>
      </c>
      <c r="C105" t="s">
        <v>182</v>
      </c>
      <c r="D105" t="s">
        <v>425</v>
      </c>
      <c r="E105">
        <v>14</v>
      </c>
      <c r="F105" t="s">
        <v>285</v>
      </c>
    </row>
    <row r="106" spans="1:6" x14ac:dyDescent="0.3">
      <c r="A106" s="1">
        <v>45762</v>
      </c>
      <c r="B106">
        <v>2025</v>
      </c>
      <c r="C106" t="s">
        <v>182</v>
      </c>
      <c r="D106" t="s">
        <v>425</v>
      </c>
      <c r="E106">
        <v>15</v>
      </c>
      <c r="F106" t="s">
        <v>285</v>
      </c>
    </row>
    <row r="107" spans="1:6" x14ac:dyDescent="0.3">
      <c r="A107" s="1">
        <v>45763</v>
      </c>
      <c r="B107">
        <v>2025</v>
      </c>
      <c r="C107" t="s">
        <v>182</v>
      </c>
      <c r="D107" t="s">
        <v>425</v>
      </c>
      <c r="E107">
        <v>16</v>
      </c>
      <c r="F107" t="s">
        <v>285</v>
      </c>
    </row>
    <row r="108" spans="1:6" x14ac:dyDescent="0.3">
      <c r="A108" s="1">
        <v>45764</v>
      </c>
      <c r="B108">
        <v>2025</v>
      </c>
      <c r="C108" t="s">
        <v>182</v>
      </c>
      <c r="D108" t="s">
        <v>425</v>
      </c>
      <c r="E108">
        <v>17</v>
      </c>
      <c r="F108" t="s">
        <v>285</v>
      </c>
    </row>
    <row r="109" spans="1:6" x14ac:dyDescent="0.3">
      <c r="A109" s="1">
        <v>45765</v>
      </c>
      <c r="B109">
        <v>2025</v>
      </c>
      <c r="C109" t="s">
        <v>182</v>
      </c>
      <c r="D109" t="s">
        <v>425</v>
      </c>
      <c r="E109">
        <v>18</v>
      </c>
      <c r="F109" t="s">
        <v>285</v>
      </c>
    </row>
    <row r="110" spans="1:6" x14ac:dyDescent="0.3">
      <c r="A110" s="1">
        <v>45766</v>
      </c>
      <c r="B110">
        <v>2025</v>
      </c>
      <c r="C110" t="s">
        <v>182</v>
      </c>
      <c r="D110" t="s">
        <v>425</v>
      </c>
      <c r="E110">
        <v>19</v>
      </c>
      <c r="F110" t="s">
        <v>285</v>
      </c>
    </row>
    <row r="111" spans="1:6" x14ac:dyDescent="0.3">
      <c r="A111" s="1">
        <v>45767</v>
      </c>
      <c r="B111">
        <v>2025</v>
      </c>
      <c r="C111" t="s">
        <v>182</v>
      </c>
      <c r="D111" t="s">
        <v>425</v>
      </c>
      <c r="E111">
        <v>20</v>
      </c>
      <c r="F111" t="s">
        <v>285</v>
      </c>
    </row>
    <row r="112" spans="1:6" x14ac:dyDescent="0.3">
      <c r="A112" s="1">
        <v>45768</v>
      </c>
      <c r="B112">
        <v>2025</v>
      </c>
      <c r="C112" t="s">
        <v>182</v>
      </c>
      <c r="D112" t="s">
        <v>425</v>
      </c>
      <c r="E112">
        <v>21</v>
      </c>
      <c r="F112" t="s">
        <v>285</v>
      </c>
    </row>
    <row r="113" spans="1:6" x14ac:dyDescent="0.3">
      <c r="A113" s="1">
        <v>45769</v>
      </c>
      <c r="B113">
        <v>2025</v>
      </c>
      <c r="C113" t="s">
        <v>182</v>
      </c>
      <c r="D113" t="s">
        <v>425</v>
      </c>
      <c r="E113">
        <v>22</v>
      </c>
      <c r="F113" t="s">
        <v>285</v>
      </c>
    </row>
    <row r="114" spans="1:6" x14ac:dyDescent="0.3">
      <c r="A114" s="1">
        <v>45770</v>
      </c>
      <c r="B114">
        <v>2025</v>
      </c>
      <c r="C114" t="s">
        <v>182</v>
      </c>
      <c r="D114" t="s">
        <v>425</v>
      </c>
      <c r="E114">
        <v>23</v>
      </c>
      <c r="F114" t="s">
        <v>285</v>
      </c>
    </row>
    <row r="115" spans="1:6" x14ac:dyDescent="0.3">
      <c r="A115" s="1">
        <v>45771</v>
      </c>
      <c r="B115">
        <v>2025</v>
      </c>
      <c r="C115" t="s">
        <v>182</v>
      </c>
      <c r="D115" t="s">
        <v>425</v>
      </c>
      <c r="E115">
        <v>24</v>
      </c>
      <c r="F115" t="s">
        <v>285</v>
      </c>
    </row>
    <row r="116" spans="1:6" x14ac:dyDescent="0.3">
      <c r="A116" s="1">
        <v>45772</v>
      </c>
      <c r="B116">
        <v>2025</v>
      </c>
      <c r="C116" t="s">
        <v>182</v>
      </c>
      <c r="D116" t="s">
        <v>425</v>
      </c>
      <c r="E116">
        <v>25</v>
      </c>
      <c r="F116" t="s">
        <v>285</v>
      </c>
    </row>
    <row r="117" spans="1:6" x14ac:dyDescent="0.3">
      <c r="A117" s="1">
        <v>45773</v>
      </c>
      <c r="B117">
        <v>2025</v>
      </c>
      <c r="C117" t="s">
        <v>182</v>
      </c>
      <c r="D117" t="s">
        <v>425</v>
      </c>
      <c r="E117">
        <v>26</v>
      </c>
      <c r="F117" t="s">
        <v>285</v>
      </c>
    </row>
    <row r="118" spans="1:6" x14ac:dyDescent="0.3">
      <c r="A118" s="1">
        <v>45774</v>
      </c>
      <c r="B118">
        <v>2025</v>
      </c>
      <c r="C118" t="s">
        <v>182</v>
      </c>
      <c r="D118" t="s">
        <v>425</v>
      </c>
      <c r="E118">
        <v>27</v>
      </c>
      <c r="F118" t="s">
        <v>285</v>
      </c>
    </row>
    <row r="119" spans="1:6" x14ac:dyDescent="0.3">
      <c r="A119" s="1">
        <v>45775</v>
      </c>
      <c r="B119">
        <v>2025</v>
      </c>
      <c r="C119" t="s">
        <v>182</v>
      </c>
      <c r="D119" t="s">
        <v>425</v>
      </c>
      <c r="E119">
        <v>28</v>
      </c>
      <c r="F119" t="s">
        <v>285</v>
      </c>
    </row>
    <row r="120" spans="1:6" x14ac:dyDescent="0.3">
      <c r="A120" s="1">
        <v>45776</v>
      </c>
      <c r="B120">
        <v>2025</v>
      </c>
      <c r="C120" t="s">
        <v>182</v>
      </c>
      <c r="D120" t="s">
        <v>425</v>
      </c>
      <c r="E120">
        <v>29</v>
      </c>
      <c r="F120" t="s">
        <v>285</v>
      </c>
    </row>
    <row r="121" spans="1:6" x14ac:dyDescent="0.3">
      <c r="A121" s="1">
        <v>45777</v>
      </c>
      <c r="B121">
        <v>2025</v>
      </c>
      <c r="C121" t="s">
        <v>182</v>
      </c>
      <c r="D121" t="s">
        <v>425</v>
      </c>
      <c r="E121">
        <v>30</v>
      </c>
      <c r="F121" t="s">
        <v>285</v>
      </c>
    </row>
    <row r="122" spans="1:6" x14ac:dyDescent="0.3">
      <c r="A122" s="1">
        <v>45778</v>
      </c>
      <c r="B122">
        <v>2025</v>
      </c>
      <c r="C122" t="s">
        <v>182</v>
      </c>
      <c r="D122" t="s">
        <v>427</v>
      </c>
      <c r="E122">
        <v>1</v>
      </c>
      <c r="F122" t="s">
        <v>287</v>
      </c>
    </row>
    <row r="123" spans="1:6" x14ac:dyDescent="0.3">
      <c r="A123" s="1">
        <v>45779</v>
      </c>
      <c r="B123">
        <v>2025</v>
      </c>
      <c r="C123" t="s">
        <v>182</v>
      </c>
      <c r="D123" t="s">
        <v>427</v>
      </c>
      <c r="E123">
        <v>2</v>
      </c>
      <c r="F123" t="s">
        <v>287</v>
      </c>
    </row>
    <row r="124" spans="1:6" x14ac:dyDescent="0.3">
      <c r="A124" s="1">
        <v>45780</v>
      </c>
      <c r="B124">
        <v>2025</v>
      </c>
      <c r="C124" t="s">
        <v>182</v>
      </c>
      <c r="D124" t="s">
        <v>427</v>
      </c>
      <c r="E124">
        <v>3</v>
      </c>
      <c r="F124" t="s">
        <v>287</v>
      </c>
    </row>
    <row r="125" spans="1:6" x14ac:dyDescent="0.3">
      <c r="A125" s="1">
        <v>45781</v>
      </c>
      <c r="B125">
        <v>2025</v>
      </c>
      <c r="C125" t="s">
        <v>182</v>
      </c>
      <c r="D125" t="s">
        <v>427</v>
      </c>
      <c r="E125">
        <v>4</v>
      </c>
      <c r="F125" t="s">
        <v>287</v>
      </c>
    </row>
    <row r="126" spans="1:6" x14ac:dyDescent="0.3">
      <c r="A126" s="1">
        <v>45782</v>
      </c>
      <c r="B126">
        <v>2025</v>
      </c>
      <c r="C126" t="s">
        <v>182</v>
      </c>
      <c r="D126" t="s">
        <v>427</v>
      </c>
      <c r="E126">
        <v>5</v>
      </c>
      <c r="F126" t="s">
        <v>287</v>
      </c>
    </row>
    <row r="127" spans="1:6" x14ac:dyDescent="0.3">
      <c r="A127" s="1">
        <v>45783</v>
      </c>
      <c r="B127">
        <v>2025</v>
      </c>
      <c r="C127" t="s">
        <v>182</v>
      </c>
      <c r="D127" t="s">
        <v>427</v>
      </c>
      <c r="E127">
        <v>6</v>
      </c>
      <c r="F127" t="s">
        <v>287</v>
      </c>
    </row>
    <row r="128" spans="1:6" x14ac:dyDescent="0.3">
      <c r="A128" s="1">
        <v>45784</v>
      </c>
      <c r="B128">
        <v>2025</v>
      </c>
      <c r="C128" t="s">
        <v>182</v>
      </c>
      <c r="D128" t="s">
        <v>427</v>
      </c>
      <c r="E128">
        <v>7</v>
      </c>
      <c r="F128" t="s">
        <v>287</v>
      </c>
    </row>
    <row r="129" spans="1:6" x14ac:dyDescent="0.3">
      <c r="A129" s="1">
        <v>45785</v>
      </c>
      <c r="B129">
        <v>2025</v>
      </c>
      <c r="C129" t="s">
        <v>182</v>
      </c>
      <c r="D129" t="s">
        <v>427</v>
      </c>
      <c r="E129">
        <v>8</v>
      </c>
      <c r="F129" t="s">
        <v>287</v>
      </c>
    </row>
    <row r="130" spans="1:6" x14ac:dyDescent="0.3">
      <c r="A130" s="1">
        <v>45786</v>
      </c>
      <c r="B130">
        <v>2025</v>
      </c>
      <c r="C130" t="s">
        <v>182</v>
      </c>
      <c r="D130" t="s">
        <v>427</v>
      </c>
      <c r="E130">
        <v>9</v>
      </c>
      <c r="F130" t="s">
        <v>287</v>
      </c>
    </row>
    <row r="131" spans="1:6" x14ac:dyDescent="0.3">
      <c r="A131" s="1">
        <v>45787</v>
      </c>
      <c r="B131">
        <v>2025</v>
      </c>
      <c r="C131" t="s">
        <v>182</v>
      </c>
      <c r="D131" t="s">
        <v>427</v>
      </c>
      <c r="E131">
        <v>10</v>
      </c>
      <c r="F131" t="s">
        <v>287</v>
      </c>
    </row>
    <row r="132" spans="1:6" x14ac:dyDescent="0.3">
      <c r="A132" s="1">
        <v>45788</v>
      </c>
      <c r="B132">
        <v>2025</v>
      </c>
      <c r="C132" t="s">
        <v>182</v>
      </c>
      <c r="D132" t="s">
        <v>427</v>
      </c>
      <c r="E132">
        <v>11</v>
      </c>
      <c r="F132" t="s">
        <v>287</v>
      </c>
    </row>
    <row r="133" spans="1:6" x14ac:dyDescent="0.3">
      <c r="A133" s="1">
        <v>45789</v>
      </c>
      <c r="B133">
        <v>2025</v>
      </c>
      <c r="C133" t="s">
        <v>182</v>
      </c>
      <c r="D133" t="s">
        <v>427</v>
      </c>
      <c r="E133">
        <v>12</v>
      </c>
      <c r="F133" t="s">
        <v>287</v>
      </c>
    </row>
    <row r="134" spans="1:6" x14ac:dyDescent="0.3">
      <c r="A134" s="1">
        <v>45790</v>
      </c>
      <c r="B134">
        <v>2025</v>
      </c>
      <c r="C134" t="s">
        <v>182</v>
      </c>
      <c r="D134" t="s">
        <v>427</v>
      </c>
      <c r="E134">
        <v>13</v>
      </c>
      <c r="F134" t="s">
        <v>287</v>
      </c>
    </row>
    <row r="135" spans="1:6" x14ac:dyDescent="0.3">
      <c r="A135" s="1">
        <v>45791</v>
      </c>
      <c r="B135">
        <v>2025</v>
      </c>
      <c r="C135" t="s">
        <v>182</v>
      </c>
      <c r="D135" t="s">
        <v>427</v>
      </c>
      <c r="E135">
        <v>14</v>
      </c>
      <c r="F135" t="s">
        <v>287</v>
      </c>
    </row>
    <row r="136" spans="1:6" x14ac:dyDescent="0.3">
      <c r="A136" s="1">
        <v>45792</v>
      </c>
      <c r="B136">
        <v>2025</v>
      </c>
      <c r="C136" t="s">
        <v>182</v>
      </c>
      <c r="D136" t="s">
        <v>427</v>
      </c>
      <c r="E136">
        <v>15</v>
      </c>
      <c r="F136" t="s">
        <v>287</v>
      </c>
    </row>
    <row r="137" spans="1:6" x14ac:dyDescent="0.3">
      <c r="A137" s="1">
        <v>45793</v>
      </c>
      <c r="B137">
        <v>2025</v>
      </c>
      <c r="C137" t="s">
        <v>182</v>
      </c>
      <c r="D137" t="s">
        <v>427</v>
      </c>
      <c r="E137">
        <v>16</v>
      </c>
      <c r="F137" t="s">
        <v>287</v>
      </c>
    </row>
    <row r="138" spans="1:6" x14ac:dyDescent="0.3">
      <c r="A138" s="1">
        <v>45794</v>
      </c>
      <c r="B138">
        <v>2025</v>
      </c>
      <c r="C138" t="s">
        <v>182</v>
      </c>
      <c r="D138" t="s">
        <v>427</v>
      </c>
      <c r="E138">
        <v>17</v>
      </c>
      <c r="F138" t="s">
        <v>287</v>
      </c>
    </row>
    <row r="139" spans="1:6" x14ac:dyDescent="0.3">
      <c r="A139" s="1">
        <v>45795</v>
      </c>
      <c r="B139">
        <v>2025</v>
      </c>
      <c r="C139" t="s">
        <v>182</v>
      </c>
      <c r="D139" t="s">
        <v>427</v>
      </c>
      <c r="E139">
        <v>18</v>
      </c>
      <c r="F139" t="s">
        <v>287</v>
      </c>
    </row>
    <row r="140" spans="1:6" x14ac:dyDescent="0.3">
      <c r="A140" s="1">
        <v>45796</v>
      </c>
      <c r="B140">
        <v>2025</v>
      </c>
      <c r="C140" t="s">
        <v>182</v>
      </c>
      <c r="D140" t="s">
        <v>427</v>
      </c>
      <c r="E140">
        <v>19</v>
      </c>
      <c r="F140" t="s">
        <v>287</v>
      </c>
    </row>
    <row r="141" spans="1:6" x14ac:dyDescent="0.3">
      <c r="A141" s="1">
        <v>45797</v>
      </c>
      <c r="B141">
        <v>2025</v>
      </c>
      <c r="C141" t="s">
        <v>182</v>
      </c>
      <c r="D141" t="s">
        <v>427</v>
      </c>
      <c r="E141">
        <v>20</v>
      </c>
      <c r="F141" t="s">
        <v>287</v>
      </c>
    </row>
    <row r="142" spans="1:6" x14ac:dyDescent="0.3">
      <c r="A142" s="1">
        <v>45798</v>
      </c>
      <c r="B142">
        <v>2025</v>
      </c>
      <c r="C142" t="s">
        <v>182</v>
      </c>
      <c r="D142" t="s">
        <v>427</v>
      </c>
      <c r="E142">
        <v>21</v>
      </c>
      <c r="F142" t="s">
        <v>287</v>
      </c>
    </row>
    <row r="143" spans="1:6" x14ac:dyDescent="0.3">
      <c r="A143" s="1">
        <v>45799</v>
      </c>
      <c r="B143">
        <v>2025</v>
      </c>
      <c r="C143" t="s">
        <v>182</v>
      </c>
      <c r="D143" t="s">
        <v>427</v>
      </c>
      <c r="E143">
        <v>22</v>
      </c>
      <c r="F143" t="s">
        <v>287</v>
      </c>
    </row>
    <row r="144" spans="1:6" x14ac:dyDescent="0.3">
      <c r="A144" s="1">
        <v>45800</v>
      </c>
      <c r="B144">
        <v>2025</v>
      </c>
      <c r="C144" t="s">
        <v>182</v>
      </c>
      <c r="D144" t="s">
        <v>427</v>
      </c>
      <c r="E144">
        <v>23</v>
      </c>
      <c r="F144" t="s">
        <v>287</v>
      </c>
    </row>
    <row r="145" spans="1:6" x14ac:dyDescent="0.3">
      <c r="A145" s="1">
        <v>45801</v>
      </c>
      <c r="B145">
        <v>2025</v>
      </c>
      <c r="C145" t="s">
        <v>182</v>
      </c>
      <c r="D145" t="s">
        <v>427</v>
      </c>
      <c r="E145">
        <v>24</v>
      </c>
      <c r="F145" t="s">
        <v>287</v>
      </c>
    </row>
    <row r="146" spans="1:6" x14ac:dyDescent="0.3">
      <c r="A146" s="1">
        <v>45802</v>
      </c>
      <c r="B146">
        <v>2025</v>
      </c>
      <c r="C146" t="s">
        <v>182</v>
      </c>
      <c r="D146" t="s">
        <v>427</v>
      </c>
      <c r="E146">
        <v>25</v>
      </c>
      <c r="F146" t="s">
        <v>287</v>
      </c>
    </row>
    <row r="147" spans="1:6" x14ac:dyDescent="0.3">
      <c r="A147" s="1">
        <v>45803</v>
      </c>
      <c r="B147">
        <v>2025</v>
      </c>
      <c r="C147" t="s">
        <v>182</v>
      </c>
      <c r="D147" t="s">
        <v>427</v>
      </c>
      <c r="E147">
        <v>26</v>
      </c>
      <c r="F147" t="s">
        <v>287</v>
      </c>
    </row>
    <row r="148" spans="1:6" x14ac:dyDescent="0.3">
      <c r="A148" s="1">
        <v>45804</v>
      </c>
      <c r="B148">
        <v>2025</v>
      </c>
      <c r="C148" t="s">
        <v>182</v>
      </c>
      <c r="D148" t="s">
        <v>427</v>
      </c>
      <c r="E148">
        <v>27</v>
      </c>
      <c r="F148" t="s">
        <v>287</v>
      </c>
    </row>
    <row r="149" spans="1:6" x14ac:dyDescent="0.3">
      <c r="A149" s="1">
        <v>45805</v>
      </c>
      <c r="B149">
        <v>2025</v>
      </c>
      <c r="C149" t="s">
        <v>182</v>
      </c>
      <c r="D149" t="s">
        <v>427</v>
      </c>
      <c r="E149">
        <v>28</v>
      </c>
      <c r="F149" t="s">
        <v>287</v>
      </c>
    </row>
    <row r="150" spans="1:6" x14ac:dyDescent="0.3">
      <c r="A150" s="1">
        <v>45806</v>
      </c>
      <c r="B150">
        <v>2025</v>
      </c>
      <c r="C150" t="s">
        <v>182</v>
      </c>
      <c r="D150" t="s">
        <v>427</v>
      </c>
      <c r="E150">
        <v>29</v>
      </c>
      <c r="F150" t="s">
        <v>287</v>
      </c>
    </row>
    <row r="151" spans="1:6" x14ac:dyDescent="0.3">
      <c r="A151" s="1">
        <v>45807</v>
      </c>
      <c r="B151">
        <v>2025</v>
      </c>
      <c r="C151" t="s">
        <v>182</v>
      </c>
      <c r="D151" t="s">
        <v>427</v>
      </c>
      <c r="E151">
        <v>30</v>
      </c>
      <c r="F151" t="s">
        <v>287</v>
      </c>
    </row>
    <row r="152" spans="1:6" x14ac:dyDescent="0.3">
      <c r="A152" s="1">
        <v>45808</v>
      </c>
      <c r="B152">
        <v>2025</v>
      </c>
      <c r="C152" t="s">
        <v>182</v>
      </c>
      <c r="D152" t="s">
        <v>427</v>
      </c>
      <c r="E152">
        <v>31</v>
      </c>
      <c r="F152" t="s">
        <v>287</v>
      </c>
    </row>
    <row r="153" spans="1:6" x14ac:dyDescent="0.3">
      <c r="A153" s="1">
        <v>45809</v>
      </c>
      <c r="B153">
        <v>2025</v>
      </c>
      <c r="C153" t="s">
        <v>182</v>
      </c>
      <c r="D153" t="s">
        <v>428</v>
      </c>
      <c r="E153">
        <v>1</v>
      </c>
      <c r="F153" t="s">
        <v>288</v>
      </c>
    </row>
    <row r="154" spans="1:6" x14ac:dyDescent="0.3">
      <c r="A154" s="1">
        <v>45810</v>
      </c>
      <c r="B154">
        <v>2025</v>
      </c>
      <c r="C154" t="s">
        <v>182</v>
      </c>
      <c r="D154" t="s">
        <v>428</v>
      </c>
      <c r="E154">
        <v>2</v>
      </c>
      <c r="F154" t="s">
        <v>288</v>
      </c>
    </row>
    <row r="155" spans="1:6" x14ac:dyDescent="0.3">
      <c r="A155" s="1">
        <v>45811</v>
      </c>
      <c r="B155">
        <v>2025</v>
      </c>
      <c r="C155" t="s">
        <v>182</v>
      </c>
      <c r="D155" t="s">
        <v>428</v>
      </c>
      <c r="E155">
        <v>3</v>
      </c>
      <c r="F155" t="s">
        <v>288</v>
      </c>
    </row>
    <row r="156" spans="1:6" x14ac:dyDescent="0.3">
      <c r="A156" s="1">
        <v>45812</v>
      </c>
      <c r="B156">
        <v>2025</v>
      </c>
      <c r="C156" t="s">
        <v>182</v>
      </c>
      <c r="D156" t="s">
        <v>428</v>
      </c>
      <c r="E156">
        <v>4</v>
      </c>
      <c r="F156" t="s">
        <v>288</v>
      </c>
    </row>
    <row r="157" spans="1:6" x14ac:dyDescent="0.3">
      <c r="A157" s="1">
        <v>45813</v>
      </c>
      <c r="B157">
        <v>2025</v>
      </c>
      <c r="C157" t="s">
        <v>182</v>
      </c>
      <c r="D157" t="s">
        <v>428</v>
      </c>
      <c r="E157">
        <v>5</v>
      </c>
      <c r="F157" t="s">
        <v>288</v>
      </c>
    </row>
    <row r="158" spans="1:6" x14ac:dyDescent="0.3">
      <c r="A158" s="1">
        <v>45814</v>
      </c>
      <c r="B158">
        <v>2025</v>
      </c>
      <c r="C158" t="s">
        <v>182</v>
      </c>
      <c r="D158" t="s">
        <v>428</v>
      </c>
      <c r="E158">
        <v>6</v>
      </c>
      <c r="F158" t="s">
        <v>288</v>
      </c>
    </row>
    <row r="159" spans="1:6" x14ac:dyDescent="0.3">
      <c r="A159" s="1">
        <v>45815</v>
      </c>
      <c r="B159">
        <v>2025</v>
      </c>
      <c r="C159" t="s">
        <v>182</v>
      </c>
      <c r="D159" t="s">
        <v>428</v>
      </c>
      <c r="E159">
        <v>7</v>
      </c>
      <c r="F159" t="s">
        <v>288</v>
      </c>
    </row>
    <row r="160" spans="1:6" x14ac:dyDescent="0.3">
      <c r="A160" s="1">
        <v>45816</v>
      </c>
      <c r="B160">
        <v>2025</v>
      </c>
      <c r="C160" t="s">
        <v>182</v>
      </c>
      <c r="D160" t="s">
        <v>428</v>
      </c>
      <c r="E160">
        <v>8</v>
      </c>
      <c r="F160" t="s">
        <v>288</v>
      </c>
    </row>
    <row r="161" spans="1:6" x14ac:dyDescent="0.3">
      <c r="A161" s="1">
        <v>45817</v>
      </c>
      <c r="B161">
        <v>2025</v>
      </c>
      <c r="C161" t="s">
        <v>182</v>
      </c>
      <c r="D161" t="s">
        <v>428</v>
      </c>
      <c r="E161">
        <v>9</v>
      </c>
      <c r="F161" t="s">
        <v>288</v>
      </c>
    </row>
    <row r="162" spans="1:6" x14ac:dyDescent="0.3">
      <c r="A162" s="1">
        <v>45818</v>
      </c>
      <c r="B162">
        <v>2025</v>
      </c>
      <c r="C162" t="s">
        <v>182</v>
      </c>
      <c r="D162" t="s">
        <v>428</v>
      </c>
      <c r="E162">
        <v>10</v>
      </c>
      <c r="F162" t="s">
        <v>288</v>
      </c>
    </row>
    <row r="163" spans="1:6" x14ac:dyDescent="0.3">
      <c r="A163" s="1">
        <v>45819</v>
      </c>
      <c r="B163">
        <v>2025</v>
      </c>
      <c r="C163" t="s">
        <v>182</v>
      </c>
      <c r="D163" t="s">
        <v>428</v>
      </c>
      <c r="E163">
        <v>11</v>
      </c>
      <c r="F163" t="s">
        <v>288</v>
      </c>
    </row>
    <row r="164" spans="1:6" x14ac:dyDescent="0.3">
      <c r="A164" s="1">
        <v>45820</v>
      </c>
      <c r="B164">
        <v>2025</v>
      </c>
      <c r="C164" t="s">
        <v>182</v>
      </c>
      <c r="D164" t="s">
        <v>428</v>
      </c>
      <c r="E164">
        <v>12</v>
      </c>
      <c r="F164" t="s">
        <v>288</v>
      </c>
    </row>
    <row r="165" spans="1:6" x14ac:dyDescent="0.3">
      <c r="A165" s="1">
        <v>45821</v>
      </c>
      <c r="B165">
        <v>2025</v>
      </c>
      <c r="C165" t="s">
        <v>182</v>
      </c>
      <c r="D165" t="s">
        <v>428</v>
      </c>
      <c r="E165">
        <v>13</v>
      </c>
      <c r="F165" t="s">
        <v>288</v>
      </c>
    </row>
    <row r="166" spans="1:6" x14ac:dyDescent="0.3">
      <c r="A166" s="1">
        <v>45822</v>
      </c>
      <c r="B166">
        <v>2025</v>
      </c>
      <c r="C166" t="s">
        <v>182</v>
      </c>
      <c r="D166" t="s">
        <v>428</v>
      </c>
      <c r="E166">
        <v>14</v>
      </c>
      <c r="F166" t="s">
        <v>288</v>
      </c>
    </row>
    <row r="167" spans="1:6" x14ac:dyDescent="0.3">
      <c r="A167" s="1">
        <v>45823</v>
      </c>
      <c r="B167">
        <v>2025</v>
      </c>
      <c r="C167" t="s">
        <v>182</v>
      </c>
      <c r="D167" t="s">
        <v>428</v>
      </c>
      <c r="E167">
        <v>15</v>
      </c>
      <c r="F167" t="s">
        <v>288</v>
      </c>
    </row>
    <row r="168" spans="1:6" x14ac:dyDescent="0.3">
      <c r="A168" s="1">
        <v>45824</v>
      </c>
      <c r="B168">
        <v>2025</v>
      </c>
      <c r="C168" t="s">
        <v>182</v>
      </c>
      <c r="D168" t="s">
        <v>428</v>
      </c>
      <c r="E168">
        <v>16</v>
      </c>
      <c r="F168" t="s">
        <v>288</v>
      </c>
    </row>
    <row r="169" spans="1:6" x14ac:dyDescent="0.3">
      <c r="A169" s="1">
        <v>45825</v>
      </c>
      <c r="B169">
        <v>2025</v>
      </c>
      <c r="C169" t="s">
        <v>182</v>
      </c>
      <c r="D169" t="s">
        <v>428</v>
      </c>
      <c r="E169">
        <v>17</v>
      </c>
      <c r="F169" t="s">
        <v>288</v>
      </c>
    </row>
    <row r="170" spans="1:6" x14ac:dyDescent="0.3">
      <c r="A170" s="1">
        <v>45826</v>
      </c>
      <c r="B170">
        <v>2025</v>
      </c>
      <c r="C170" t="s">
        <v>182</v>
      </c>
      <c r="D170" t="s">
        <v>428</v>
      </c>
      <c r="E170">
        <v>18</v>
      </c>
      <c r="F170" t="s">
        <v>288</v>
      </c>
    </row>
    <row r="171" spans="1:6" x14ac:dyDescent="0.3">
      <c r="A171" s="1">
        <v>45827</v>
      </c>
      <c r="B171">
        <v>2025</v>
      </c>
      <c r="C171" t="s">
        <v>182</v>
      </c>
      <c r="D171" t="s">
        <v>428</v>
      </c>
      <c r="E171">
        <v>19</v>
      </c>
      <c r="F171" t="s">
        <v>288</v>
      </c>
    </row>
    <row r="172" spans="1:6" x14ac:dyDescent="0.3">
      <c r="A172" s="1">
        <v>45828</v>
      </c>
      <c r="B172">
        <v>2025</v>
      </c>
      <c r="C172" t="s">
        <v>182</v>
      </c>
      <c r="D172" t="s">
        <v>428</v>
      </c>
      <c r="E172">
        <v>20</v>
      </c>
      <c r="F172" t="s">
        <v>288</v>
      </c>
    </row>
    <row r="173" spans="1:6" x14ac:dyDescent="0.3">
      <c r="A173" s="1">
        <v>45829</v>
      </c>
      <c r="B173">
        <v>2025</v>
      </c>
      <c r="C173" t="s">
        <v>182</v>
      </c>
      <c r="D173" t="s">
        <v>428</v>
      </c>
      <c r="E173">
        <v>21</v>
      </c>
      <c r="F173" t="s">
        <v>288</v>
      </c>
    </row>
    <row r="174" spans="1:6" x14ac:dyDescent="0.3">
      <c r="A174" s="1">
        <v>45830</v>
      </c>
      <c r="B174">
        <v>2025</v>
      </c>
      <c r="C174" t="s">
        <v>182</v>
      </c>
      <c r="D174" t="s">
        <v>428</v>
      </c>
      <c r="E174">
        <v>22</v>
      </c>
      <c r="F174" t="s">
        <v>288</v>
      </c>
    </row>
    <row r="175" spans="1:6" x14ac:dyDescent="0.3">
      <c r="A175" s="1">
        <v>45831</v>
      </c>
      <c r="B175">
        <v>2025</v>
      </c>
      <c r="C175" t="s">
        <v>182</v>
      </c>
      <c r="D175" t="s">
        <v>428</v>
      </c>
      <c r="E175">
        <v>23</v>
      </c>
      <c r="F175" t="s">
        <v>288</v>
      </c>
    </row>
    <row r="176" spans="1:6" x14ac:dyDescent="0.3">
      <c r="A176" s="1">
        <v>45832</v>
      </c>
      <c r="B176">
        <v>2025</v>
      </c>
      <c r="C176" t="s">
        <v>182</v>
      </c>
      <c r="D176" t="s">
        <v>428</v>
      </c>
      <c r="E176">
        <v>24</v>
      </c>
      <c r="F176" t="s">
        <v>288</v>
      </c>
    </row>
    <row r="177" spans="1:6" x14ac:dyDescent="0.3">
      <c r="A177" s="1">
        <v>45833</v>
      </c>
      <c r="B177">
        <v>2025</v>
      </c>
      <c r="C177" t="s">
        <v>182</v>
      </c>
      <c r="D177" t="s">
        <v>428</v>
      </c>
      <c r="E177">
        <v>25</v>
      </c>
      <c r="F177" t="s">
        <v>288</v>
      </c>
    </row>
    <row r="178" spans="1:6" x14ac:dyDescent="0.3">
      <c r="A178" s="1">
        <v>45834</v>
      </c>
      <c r="B178">
        <v>2025</v>
      </c>
      <c r="C178" t="s">
        <v>182</v>
      </c>
      <c r="D178" t="s">
        <v>428</v>
      </c>
      <c r="E178">
        <v>26</v>
      </c>
      <c r="F178" t="s">
        <v>288</v>
      </c>
    </row>
    <row r="179" spans="1:6" x14ac:dyDescent="0.3">
      <c r="A179" s="1">
        <v>45835</v>
      </c>
      <c r="B179">
        <v>2025</v>
      </c>
      <c r="C179" t="s">
        <v>182</v>
      </c>
      <c r="D179" t="s">
        <v>428</v>
      </c>
      <c r="E179">
        <v>27</v>
      </c>
      <c r="F179" t="s">
        <v>288</v>
      </c>
    </row>
    <row r="180" spans="1:6" x14ac:dyDescent="0.3">
      <c r="A180" s="1">
        <v>45836</v>
      </c>
      <c r="B180">
        <v>2025</v>
      </c>
      <c r="C180" t="s">
        <v>182</v>
      </c>
      <c r="D180" t="s">
        <v>428</v>
      </c>
      <c r="E180">
        <v>28</v>
      </c>
      <c r="F180" t="s">
        <v>288</v>
      </c>
    </row>
    <row r="181" spans="1:6" x14ac:dyDescent="0.3">
      <c r="A181" s="1">
        <v>45837</v>
      </c>
      <c r="B181">
        <v>2025</v>
      </c>
      <c r="C181" t="s">
        <v>182</v>
      </c>
      <c r="D181" t="s">
        <v>428</v>
      </c>
      <c r="E181">
        <v>29</v>
      </c>
      <c r="F181" t="s">
        <v>288</v>
      </c>
    </row>
    <row r="182" spans="1:6" x14ac:dyDescent="0.3">
      <c r="A182" s="1">
        <v>45838</v>
      </c>
      <c r="B182">
        <v>2025</v>
      </c>
      <c r="C182" t="s">
        <v>182</v>
      </c>
      <c r="D182" t="s">
        <v>428</v>
      </c>
      <c r="E182">
        <v>30</v>
      </c>
      <c r="F182" t="s">
        <v>288</v>
      </c>
    </row>
    <row r="183" spans="1:6" x14ac:dyDescent="0.3">
      <c r="A183" s="1">
        <v>45839</v>
      </c>
      <c r="B183">
        <v>2025</v>
      </c>
      <c r="C183" t="s">
        <v>197</v>
      </c>
      <c r="D183" t="s">
        <v>429</v>
      </c>
      <c r="E183">
        <v>1</v>
      </c>
      <c r="F183" t="s">
        <v>289</v>
      </c>
    </row>
    <row r="184" spans="1:6" x14ac:dyDescent="0.3">
      <c r="A184" s="1">
        <v>45840</v>
      </c>
      <c r="B184">
        <v>2025</v>
      </c>
      <c r="C184" t="s">
        <v>197</v>
      </c>
      <c r="D184" t="s">
        <v>429</v>
      </c>
      <c r="E184">
        <v>2</v>
      </c>
      <c r="F184" t="s">
        <v>289</v>
      </c>
    </row>
    <row r="185" spans="1:6" x14ac:dyDescent="0.3">
      <c r="A185" s="1">
        <v>45841</v>
      </c>
      <c r="B185">
        <v>2025</v>
      </c>
      <c r="C185" t="s">
        <v>197</v>
      </c>
      <c r="D185" t="s">
        <v>429</v>
      </c>
      <c r="E185">
        <v>3</v>
      </c>
      <c r="F185" t="s">
        <v>289</v>
      </c>
    </row>
    <row r="186" spans="1:6" x14ac:dyDescent="0.3">
      <c r="A186" s="1">
        <v>45842</v>
      </c>
      <c r="B186">
        <v>2025</v>
      </c>
      <c r="C186" t="s">
        <v>197</v>
      </c>
      <c r="D186" t="s">
        <v>429</v>
      </c>
      <c r="E186">
        <v>4</v>
      </c>
      <c r="F186" t="s">
        <v>289</v>
      </c>
    </row>
    <row r="187" spans="1:6" x14ac:dyDescent="0.3">
      <c r="A187" s="1">
        <v>45843</v>
      </c>
      <c r="B187">
        <v>2025</v>
      </c>
      <c r="C187" t="s">
        <v>197</v>
      </c>
      <c r="D187" t="s">
        <v>429</v>
      </c>
      <c r="E187">
        <v>5</v>
      </c>
      <c r="F187" t="s">
        <v>289</v>
      </c>
    </row>
    <row r="188" spans="1:6" x14ac:dyDescent="0.3">
      <c r="A188" s="1">
        <v>45844</v>
      </c>
      <c r="B188">
        <v>2025</v>
      </c>
      <c r="C188" t="s">
        <v>197</v>
      </c>
      <c r="D188" t="s">
        <v>429</v>
      </c>
      <c r="E188">
        <v>6</v>
      </c>
      <c r="F188" t="s">
        <v>289</v>
      </c>
    </row>
    <row r="189" spans="1:6" x14ac:dyDescent="0.3">
      <c r="A189" s="1">
        <v>45845</v>
      </c>
      <c r="B189">
        <v>2025</v>
      </c>
      <c r="C189" t="s">
        <v>197</v>
      </c>
      <c r="D189" t="s">
        <v>429</v>
      </c>
      <c r="E189">
        <v>7</v>
      </c>
      <c r="F189" t="s">
        <v>289</v>
      </c>
    </row>
    <row r="190" spans="1:6" x14ac:dyDescent="0.3">
      <c r="A190" s="1">
        <v>45846</v>
      </c>
      <c r="B190">
        <v>2025</v>
      </c>
      <c r="C190" t="s">
        <v>197</v>
      </c>
      <c r="D190" t="s">
        <v>429</v>
      </c>
      <c r="E190">
        <v>8</v>
      </c>
      <c r="F190" t="s">
        <v>289</v>
      </c>
    </row>
    <row r="191" spans="1:6" x14ac:dyDescent="0.3">
      <c r="A191" s="1">
        <v>45847</v>
      </c>
      <c r="B191">
        <v>2025</v>
      </c>
      <c r="C191" t="s">
        <v>197</v>
      </c>
      <c r="D191" t="s">
        <v>429</v>
      </c>
      <c r="E191">
        <v>9</v>
      </c>
      <c r="F191" t="s">
        <v>289</v>
      </c>
    </row>
    <row r="192" spans="1:6" x14ac:dyDescent="0.3">
      <c r="A192" s="1">
        <v>45848</v>
      </c>
      <c r="B192">
        <v>2025</v>
      </c>
      <c r="C192" t="s">
        <v>197</v>
      </c>
      <c r="D192" t="s">
        <v>429</v>
      </c>
      <c r="E192">
        <v>10</v>
      </c>
      <c r="F192" t="s">
        <v>289</v>
      </c>
    </row>
    <row r="193" spans="1:6" x14ac:dyDescent="0.3">
      <c r="A193" s="1">
        <v>45849</v>
      </c>
      <c r="B193">
        <v>2025</v>
      </c>
      <c r="C193" t="s">
        <v>197</v>
      </c>
      <c r="D193" t="s">
        <v>429</v>
      </c>
      <c r="E193">
        <v>11</v>
      </c>
      <c r="F193" t="s">
        <v>289</v>
      </c>
    </row>
    <row r="194" spans="1:6" x14ac:dyDescent="0.3">
      <c r="A194" s="1">
        <v>45850</v>
      </c>
      <c r="B194">
        <v>2025</v>
      </c>
      <c r="C194" t="s">
        <v>197</v>
      </c>
      <c r="D194" t="s">
        <v>429</v>
      </c>
      <c r="E194">
        <v>12</v>
      </c>
      <c r="F194" t="s">
        <v>289</v>
      </c>
    </row>
    <row r="195" spans="1:6" x14ac:dyDescent="0.3">
      <c r="A195" s="1">
        <v>45851</v>
      </c>
      <c r="B195">
        <v>2025</v>
      </c>
      <c r="C195" t="s">
        <v>197</v>
      </c>
      <c r="D195" t="s">
        <v>429</v>
      </c>
      <c r="E195">
        <v>13</v>
      </c>
      <c r="F195" t="s">
        <v>289</v>
      </c>
    </row>
    <row r="196" spans="1:6" x14ac:dyDescent="0.3">
      <c r="A196" s="1">
        <v>45852</v>
      </c>
      <c r="B196">
        <v>2025</v>
      </c>
      <c r="C196" t="s">
        <v>197</v>
      </c>
      <c r="D196" t="s">
        <v>429</v>
      </c>
      <c r="E196">
        <v>14</v>
      </c>
      <c r="F196" t="s">
        <v>289</v>
      </c>
    </row>
    <row r="197" spans="1:6" x14ac:dyDescent="0.3">
      <c r="A197" s="1">
        <v>45853</v>
      </c>
      <c r="B197">
        <v>2025</v>
      </c>
      <c r="C197" t="s">
        <v>197</v>
      </c>
      <c r="D197" t="s">
        <v>429</v>
      </c>
      <c r="E197">
        <v>15</v>
      </c>
      <c r="F197" t="s">
        <v>289</v>
      </c>
    </row>
    <row r="198" spans="1:6" x14ac:dyDescent="0.3">
      <c r="A198" s="1">
        <v>45854</v>
      </c>
      <c r="B198">
        <v>2025</v>
      </c>
      <c r="C198" t="s">
        <v>197</v>
      </c>
      <c r="D198" t="s">
        <v>429</v>
      </c>
      <c r="E198">
        <v>16</v>
      </c>
      <c r="F198" t="s">
        <v>289</v>
      </c>
    </row>
    <row r="199" spans="1:6" x14ac:dyDescent="0.3">
      <c r="A199" s="1">
        <v>45855</v>
      </c>
      <c r="B199">
        <v>2025</v>
      </c>
      <c r="C199" t="s">
        <v>197</v>
      </c>
      <c r="D199" t="s">
        <v>429</v>
      </c>
      <c r="E199">
        <v>17</v>
      </c>
      <c r="F199" t="s">
        <v>289</v>
      </c>
    </row>
    <row r="200" spans="1:6" x14ac:dyDescent="0.3">
      <c r="A200" s="1">
        <v>45856</v>
      </c>
      <c r="B200">
        <v>2025</v>
      </c>
      <c r="C200" t="s">
        <v>197</v>
      </c>
      <c r="D200" t="s">
        <v>429</v>
      </c>
      <c r="E200">
        <v>18</v>
      </c>
      <c r="F200" t="s">
        <v>289</v>
      </c>
    </row>
    <row r="201" spans="1:6" x14ac:dyDescent="0.3">
      <c r="A201" s="1">
        <v>45857</v>
      </c>
      <c r="B201">
        <v>2025</v>
      </c>
      <c r="C201" t="s">
        <v>197</v>
      </c>
      <c r="D201" t="s">
        <v>429</v>
      </c>
      <c r="E201">
        <v>19</v>
      </c>
      <c r="F201" t="s">
        <v>289</v>
      </c>
    </row>
    <row r="202" spans="1:6" x14ac:dyDescent="0.3">
      <c r="A202" s="1">
        <v>45858</v>
      </c>
      <c r="B202">
        <v>2025</v>
      </c>
      <c r="C202" t="s">
        <v>197</v>
      </c>
      <c r="D202" t="s">
        <v>429</v>
      </c>
      <c r="E202">
        <v>20</v>
      </c>
      <c r="F202" t="s">
        <v>289</v>
      </c>
    </row>
    <row r="203" spans="1:6" x14ac:dyDescent="0.3">
      <c r="A203" s="1">
        <v>45859</v>
      </c>
      <c r="B203">
        <v>2025</v>
      </c>
      <c r="C203" t="s">
        <v>197</v>
      </c>
      <c r="D203" t="s">
        <v>429</v>
      </c>
      <c r="E203">
        <v>21</v>
      </c>
      <c r="F203" t="s">
        <v>289</v>
      </c>
    </row>
    <row r="204" spans="1:6" x14ac:dyDescent="0.3">
      <c r="A204" s="1">
        <v>45860</v>
      </c>
      <c r="B204">
        <v>2025</v>
      </c>
      <c r="C204" t="s">
        <v>197</v>
      </c>
      <c r="D204" t="s">
        <v>429</v>
      </c>
      <c r="E204">
        <v>22</v>
      </c>
      <c r="F204" t="s">
        <v>289</v>
      </c>
    </row>
    <row r="205" spans="1:6" x14ac:dyDescent="0.3">
      <c r="A205" s="1">
        <v>45861</v>
      </c>
      <c r="B205">
        <v>2025</v>
      </c>
      <c r="C205" t="s">
        <v>197</v>
      </c>
      <c r="D205" t="s">
        <v>429</v>
      </c>
      <c r="E205">
        <v>23</v>
      </c>
      <c r="F205" t="s">
        <v>289</v>
      </c>
    </row>
    <row r="206" spans="1:6" x14ac:dyDescent="0.3">
      <c r="A206" s="1">
        <v>45862</v>
      </c>
      <c r="B206">
        <v>2025</v>
      </c>
      <c r="C206" t="s">
        <v>197</v>
      </c>
      <c r="D206" t="s">
        <v>429</v>
      </c>
      <c r="E206">
        <v>24</v>
      </c>
      <c r="F206" t="s">
        <v>289</v>
      </c>
    </row>
    <row r="207" spans="1:6" x14ac:dyDescent="0.3">
      <c r="A207" s="1">
        <v>45863</v>
      </c>
      <c r="B207">
        <v>2025</v>
      </c>
      <c r="C207" t="s">
        <v>197</v>
      </c>
      <c r="D207" t="s">
        <v>429</v>
      </c>
      <c r="E207">
        <v>25</v>
      </c>
      <c r="F207" t="s">
        <v>289</v>
      </c>
    </row>
    <row r="208" spans="1:6" x14ac:dyDescent="0.3">
      <c r="A208" s="1">
        <v>45864</v>
      </c>
      <c r="B208">
        <v>2025</v>
      </c>
      <c r="C208" t="s">
        <v>197</v>
      </c>
      <c r="D208" t="s">
        <v>429</v>
      </c>
      <c r="E208">
        <v>26</v>
      </c>
      <c r="F208" t="s">
        <v>289</v>
      </c>
    </row>
    <row r="209" spans="1:6" x14ac:dyDescent="0.3">
      <c r="A209" s="1">
        <v>45865</v>
      </c>
      <c r="B209">
        <v>2025</v>
      </c>
      <c r="C209" t="s">
        <v>197</v>
      </c>
      <c r="D209" t="s">
        <v>429</v>
      </c>
      <c r="E209">
        <v>27</v>
      </c>
      <c r="F209" t="s">
        <v>289</v>
      </c>
    </row>
    <row r="210" spans="1:6" x14ac:dyDescent="0.3">
      <c r="A210" s="1">
        <v>45866</v>
      </c>
      <c r="B210">
        <v>2025</v>
      </c>
      <c r="C210" t="s">
        <v>197</v>
      </c>
      <c r="D210" t="s">
        <v>429</v>
      </c>
      <c r="E210">
        <v>28</v>
      </c>
      <c r="F210" t="s">
        <v>289</v>
      </c>
    </row>
    <row r="211" spans="1:6" x14ac:dyDescent="0.3">
      <c r="A211" s="1">
        <v>45867</v>
      </c>
      <c r="B211">
        <v>2025</v>
      </c>
      <c r="C211" t="s">
        <v>197</v>
      </c>
      <c r="D211" t="s">
        <v>429</v>
      </c>
      <c r="E211">
        <v>29</v>
      </c>
      <c r="F211" t="s">
        <v>289</v>
      </c>
    </row>
    <row r="212" spans="1:6" x14ac:dyDescent="0.3">
      <c r="A212" s="1">
        <v>45868</v>
      </c>
      <c r="B212">
        <v>2025</v>
      </c>
      <c r="C212" t="s">
        <v>197</v>
      </c>
      <c r="D212" t="s">
        <v>429</v>
      </c>
      <c r="E212">
        <v>30</v>
      </c>
      <c r="F212" t="s">
        <v>289</v>
      </c>
    </row>
    <row r="213" spans="1:6" x14ac:dyDescent="0.3">
      <c r="A213" s="1">
        <v>45869</v>
      </c>
      <c r="B213">
        <v>2025</v>
      </c>
      <c r="C213" t="s">
        <v>197</v>
      </c>
      <c r="D213" t="s">
        <v>429</v>
      </c>
      <c r="E213">
        <v>31</v>
      </c>
      <c r="F213" t="s">
        <v>289</v>
      </c>
    </row>
    <row r="214" spans="1:6" x14ac:dyDescent="0.3">
      <c r="A214" s="1">
        <v>45870</v>
      </c>
      <c r="B214">
        <v>2025</v>
      </c>
      <c r="C214" t="s">
        <v>197</v>
      </c>
      <c r="D214" t="s">
        <v>430</v>
      </c>
      <c r="E214">
        <v>1</v>
      </c>
      <c r="F214" t="s">
        <v>290</v>
      </c>
    </row>
    <row r="215" spans="1:6" x14ac:dyDescent="0.3">
      <c r="A215" s="1">
        <v>45871</v>
      </c>
      <c r="B215">
        <v>2025</v>
      </c>
      <c r="C215" t="s">
        <v>197</v>
      </c>
      <c r="D215" t="s">
        <v>430</v>
      </c>
      <c r="E215">
        <v>2</v>
      </c>
      <c r="F215" t="s">
        <v>290</v>
      </c>
    </row>
    <row r="216" spans="1:6" x14ac:dyDescent="0.3">
      <c r="A216" s="1">
        <v>45872</v>
      </c>
      <c r="B216">
        <v>2025</v>
      </c>
      <c r="C216" t="s">
        <v>197</v>
      </c>
      <c r="D216" t="s">
        <v>430</v>
      </c>
      <c r="E216">
        <v>3</v>
      </c>
      <c r="F216" t="s">
        <v>290</v>
      </c>
    </row>
    <row r="217" spans="1:6" x14ac:dyDescent="0.3">
      <c r="A217" s="1">
        <v>45873</v>
      </c>
      <c r="B217">
        <v>2025</v>
      </c>
      <c r="C217" t="s">
        <v>197</v>
      </c>
      <c r="D217" t="s">
        <v>430</v>
      </c>
      <c r="E217">
        <v>4</v>
      </c>
      <c r="F217" t="s">
        <v>290</v>
      </c>
    </row>
    <row r="218" spans="1:6" x14ac:dyDescent="0.3">
      <c r="A218" s="1">
        <v>45874</v>
      </c>
      <c r="B218">
        <v>2025</v>
      </c>
      <c r="C218" t="s">
        <v>197</v>
      </c>
      <c r="D218" t="s">
        <v>430</v>
      </c>
      <c r="E218">
        <v>5</v>
      </c>
      <c r="F218" t="s">
        <v>290</v>
      </c>
    </row>
    <row r="219" spans="1:6" x14ac:dyDescent="0.3">
      <c r="A219" s="1">
        <v>45875</v>
      </c>
      <c r="B219">
        <v>2025</v>
      </c>
      <c r="C219" t="s">
        <v>197</v>
      </c>
      <c r="D219" t="s">
        <v>430</v>
      </c>
      <c r="E219">
        <v>6</v>
      </c>
      <c r="F219" t="s">
        <v>290</v>
      </c>
    </row>
    <row r="220" spans="1:6" x14ac:dyDescent="0.3">
      <c r="A220" s="1">
        <v>45876</v>
      </c>
      <c r="B220">
        <v>2025</v>
      </c>
      <c r="C220" t="s">
        <v>197</v>
      </c>
      <c r="D220" t="s">
        <v>430</v>
      </c>
      <c r="E220">
        <v>7</v>
      </c>
      <c r="F220" t="s">
        <v>290</v>
      </c>
    </row>
    <row r="221" spans="1:6" x14ac:dyDescent="0.3">
      <c r="A221" s="1">
        <v>45877</v>
      </c>
      <c r="B221">
        <v>2025</v>
      </c>
      <c r="C221" t="s">
        <v>197</v>
      </c>
      <c r="D221" t="s">
        <v>430</v>
      </c>
      <c r="E221">
        <v>8</v>
      </c>
      <c r="F221" t="s">
        <v>290</v>
      </c>
    </row>
    <row r="222" spans="1:6" x14ac:dyDescent="0.3">
      <c r="A222" s="1">
        <v>45878</v>
      </c>
      <c r="B222">
        <v>2025</v>
      </c>
      <c r="C222" t="s">
        <v>197</v>
      </c>
      <c r="D222" t="s">
        <v>430</v>
      </c>
      <c r="E222">
        <v>9</v>
      </c>
      <c r="F222" t="s">
        <v>290</v>
      </c>
    </row>
    <row r="223" spans="1:6" x14ac:dyDescent="0.3">
      <c r="A223" s="1">
        <v>45879</v>
      </c>
      <c r="B223">
        <v>2025</v>
      </c>
      <c r="C223" t="s">
        <v>197</v>
      </c>
      <c r="D223" t="s">
        <v>430</v>
      </c>
      <c r="E223">
        <v>10</v>
      </c>
      <c r="F223" t="s">
        <v>290</v>
      </c>
    </row>
    <row r="224" spans="1:6" x14ac:dyDescent="0.3">
      <c r="A224" s="1">
        <v>45880</v>
      </c>
      <c r="B224">
        <v>2025</v>
      </c>
      <c r="C224" t="s">
        <v>197</v>
      </c>
      <c r="D224" t="s">
        <v>430</v>
      </c>
      <c r="E224">
        <v>11</v>
      </c>
      <c r="F224" t="s">
        <v>290</v>
      </c>
    </row>
    <row r="225" spans="1:6" x14ac:dyDescent="0.3">
      <c r="A225" s="1">
        <v>45881</v>
      </c>
      <c r="B225">
        <v>2025</v>
      </c>
      <c r="C225" t="s">
        <v>197</v>
      </c>
      <c r="D225" t="s">
        <v>430</v>
      </c>
      <c r="E225">
        <v>12</v>
      </c>
      <c r="F225" t="s">
        <v>290</v>
      </c>
    </row>
    <row r="226" spans="1:6" x14ac:dyDescent="0.3">
      <c r="A226" s="1">
        <v>45882</v>
      </c>
      <c r="B226">
        <v>2025</v>
      </c>
      <c r="C226" t="s">
        <v>197</v>
      </c>
      <c r="D226" t="s">
        <v>430</v>
      </c>
      <c r="E226">
        <v>13</v>
      </c>
      <c r="F226" t="s">
        <v>290</v>
      </c>
    </row>
    <row r="227" spans="1:6" x14ac:dyDescent="0.3">
      <c r="A227" s="1">
        <v>45883</v>
      </c>
      <c r="B227">
        <v>2025</v>
      </c>
      <c r="C227" t="s">
        <v>197</v>
      </c>
      <c r="D227" t="s">
        <v>430</v>
      </c>
      <c r="E227">
        <v>14</v>
      </c>
      <c r="F227" t="s">
        <v>290</v>
      </c>
    </row>
    <row r="228" spans="1:6" x14ac:dyDescent="0.3">
      <c r="A228" s="1">
        <v>45884</v>
      </c>
      <c r="B228">
        <v>2025</v>
      </c>
      <c r="C228" t="s">
        <v>197</v>
      </c>
      <c r="D228" t="s">
        <v>430</v>
      </c>
      <c r="E228">
        <v>15</v>
      </c>
      <c r="F228" t="s">
        <v>290</v>
      </c>
    </row>
    <row r="229" spans="1:6" x14ac:dyDescent="0.3">
      <c r="A229" s="1">
        <v>45885</v>
      </c>
      <c r="B229">
        <v>2025</v>
      </c>
      <c r="C229" t="s">
        <v>197</v>
      </c>
      <c r="D229" t="s">
        <v>430</v>
      </c>
      <c r="E229">
        <v>16</v>
      </c>
      <c r="F229" t="s">
        <v>290</v>
      </c>
    </row>
    <row r="230" spans="1:6" x14ac:dyDescent="0.3">
      <c r="A230" s="1">
        <v>45886</v>
      </c>
      <c r="B230">
        <v>2025</v>
      </c>
      <c r="C230" t="s">
        <v>197</v>
      </c>
      <c r="D230" t="s">
        <v>430</v>
      </c>
      <c r="E230">
        <v>17</v>
      </c>
      <c r="F230" t="s">
        <v>290</v>
      </c>
    </row>
    <row r="231" spans="1:6" x14ac:dyDescent="0.3">
      <c r="A231" s="1">
        <v>45887</v>
      </c>
      <c r="B231">
        <v>2025</v>
      </c>
      <c r="C231" t="s">
        <v>197</v>
      </c>
      <c r="D231" t="s">
        <v>430</v>
      </c>
      <c r="E231">
        <v>18</v>
      </c>
      <c r="F231" t="s">
        <v>290</v>
      </c>
    </row>
    <row r="232" spans="1:6" x14ac:dyDescent="0.3">
      <c r="A232" s="1">
        <v>45888</v>
      </c>
      <c r="B232">
        <v>2025</v>
      </c>
      <c r="C232" t="s">
        <v>197</v>
      </c>
      <c r="D232" t="s">
        <v>430</v>
      </c>
      <c r="E232">
        <v>19</v>
      </c>
      <c r="F232" t="s">
        <v>290</v>
      </c>
    </row>
    <row r="233" spans="1:6" x14ac:dyDescent="0.3">
      <c r="A233" s="1">
        <v>45889</v>
      </c>
      <c r="B233">
        <v>2025</v>
      </c>
      <c r="C233" t="s">
        <v>197</v>
      </c>
      <c r="D233" t="s">
        <v>430</v>
      </c>
      <c r="E233">
        <v>20</v>
      </c>
      <c r="F233" t="s">
        <v>290</v>
      </c>
    </row>
    <row r="234" spans="1:6" x14ac:dyDescent="0.3">
      <c r="A234" s="1">
        <v>45890</v>
      </c>
      <c r="B234">
        <v>2025</v>
      </c>
      <c r="C234" t="s">
        <v>197</v>
      </c>
      <c r="D234" t="s">
        <v>430</v>
      </c>
      <c r="E234">
        <v>21</v>
      </c>
      <c r="F234" t="s">
        <v>290</v>
      </c>
    </row>
    <row r="235" spans="1:6" x14ac:dyDescent="0.3">
      <c r="A235" s="1">
        <v>45891</v>
      </c>
      <c r="B235">
        <v>2025</v>
      </c>
      <c r="C235" t="s">
        <v>197</v>
      </c>
      <c r="D235" t="s">
        <v>430</v>
      </c>
      <c r="E235">
        <v>22</v>
      </c>
      <c r="F235" t="s">
        <v>290</v>
      </c>
    </row>
    <row r="236" spans="1:6" x14ac:dyDescent="0.3">
      <c r="A236" s="1">
        <v>45892</v>
      </c>
      <c r="B236">
        <v>2025</v>
      </c>
      <c r="C236" t="s">
        <v>197</v>
      </c>
      <c r="D236" t="s">
        <v>430</v>
      </c>
      <c r="E236">
        <v>23</v>
      </c>
      <c r="F236" t="s">
        <v>290</v>
      </c>
    </row>
    <row r="237" spans="1:6" x14ac:dyDescent="0.3">
      <c r="A237" s="1">
        <v>45893</v>
      </c>
      <c r="B237">
        <v>2025</v>
      </c>
      <c r="C237" t="s">
        <v>197</v>
      </c>
      <c r="D237" t="s">
        <v>430</v>
      </c>
      <c r="E237">
        <v>24</v>
      </c>
      <c r="F237" t="s">
        <v>290</v>
      </c>
    </row>
    <row r="238" spans="1:6" x14ac:dyDescent="0.3">
      <c r="A238" s="1">
        <v>45894</v>
      </c>
      <c r="B238">
        <v>2025</v>
      </c>
      <c r="C238" t="s">
        <v>197</v>
      </c>
      <c r="D238" t="s">
        <v>430</v>
      </c>
      <c r="E238">
        <v>25</v>
      </c>
      <c r="F238" t="s">
        <v>290</v>
      </c>
    </row>
    <row r="239" spans="1:6" x14ac:dyDescent="0.3">
      <c r="A239" s="1">
        <v>45895</v>
      </c>
      <c r="B239">
        <v>2025</v>
      </c>
      <c r="C239" t="s">
        <v>197</v>
      </c>
      <c r="D239" t="s">
        <v>430</v>
      </c>
      <c r="E239">
        <v>26</v>
      </c>
      <c r="F239" t="s">
        <v>290</v>
      </c>
    </row>
    <row r="240" spans="1:6" x14ac:dyDescent="0.3">
      <c r="A240" s="1">
        <v>45896</v>
      </c>
      <c r="B240">
        <v>2025</v>
      </c>
      <c r="C240" t="s">
        <v>197</v>
      </c>
      <c r="D240" t="s">
        <v>430</v>
      </c>
      <c r="E240">
        <v>27</v>
      </c>
      <c r="F240" t="s">
        <v>290</v>
      </c>
    </row>
    <row r="241" spans="1:6" x14ac:dyDescent="0.3">
      <c r="A241" s="1">
        <v>45897</v>
      </c>
      <c r="B241">
        <v>2025</v>
      </c>
      <c r="C241" t="s">
        <v>197</v>
      </c>
      <c r="D241" t="s">
        <v>430</v>
      </c>
      <c r="E241">
        <v>28</v>
      </c>
      <c r="F241" t="s">
        <v>290</v>
      </c>
    </row>
    <row r="242" spans="1:6" x14ac:dyDescent="0.3">
      <c r="A242" s="1">
        <v>45898</v>
      </c>
      <c r="B242">
        <v>2025</v>
      </c>
      <c r="C242" t="s">
        <v>197</v>
      </c>
      <c r="D242" t="s">
        <v>430</v>
      </c>
      <c r="E242">
        <v>29</v>
      </c>
      <c r="F242" t="s">
        <v>290</v>
      </c>
    </row>
    <row r="243" spans="1:6" x14ac:dyDescent="0.3">
      <c r="A243" s="1">
        <v>45899</v>
      </c>
      <c r="B243">
        <v>2025</v>
      </c>
      <c r="C243" t="s">
        <v>197</v>
      </c>
      <c r="D243" t="s">
        <v>430</v>
      </c>
      <c r="E243">
        <v>30</v>
      </c>
      <c r="F243" t="s">
        <v>290</v>
      </c>
    </row>
    <row r="244" spans="1:6" x14ac:dyDescent="0.3">
      <c r="A244" s="1">
        <v>45900</v>
      </c>
      <c r="B244">
        <v>2025</v>
      </c>
      <c r="C244" t="s">
        <v>197</v>
      </c>
      <c r="D244" t="s">
        <v>430</v>
      </c>
      <c r="E244">
        <v>31</v>
      </c>
      <c r="F244" t="s">
        <v>290</v>
      </c>
    </row>
    <row r="245" spans="1:6" x14ac:dyDescent="0.3">
      <c r="A245" s="1">
        <v>45901</v>
      </c>
      <c r="B245">
        <v>2025</v>
      </c>
      <c r="C245" t="s">
        <v>197</v>
      </c>
      <c r="D245" t="s">
        <v>431</v>
      </c>
      <c r="E245">
        <v>1</v>
      </c>
      <c r="F245" t="s">
        <v>291</v>
      </c>
    </row>
    <row r="246" spans="1:6" x14ac:dyDescent="0.3">
      <c r="A246" s="1">
        <v>45902</v>
      </c>
      <c r="B246">
        <v>2025</v>
      </c>
      <c r="C246" t="s">
        <v>197</v>
      </c>
      <c r="D246" t="s">
        <v>431</v>
      </c>
      <c r="E246">
        <v>2</v>
      </c>
      <c r="F246" t="s">
        <v>291</v>
      </c>
    </row>
    <row r="247" spans="1:6" x14ac:dyDescent="0.3">
      <c r="A247" s="1">
        <v>45903</v>
      </c>
      <c r="B247">
        <v>2025</v>
      </c>
      <c r="C247" t="s">
        <v>197</v>
      </c>
      <c r="D247" t="s">
        <v>431</v>
      </c>
      <c r="E247">
        <v>3</v>
      </c>
      <c r="F247" t="s">
        <v>291</v>
      </c>
    </row>
    <row r="248" spans="1:6" x14ac:dyDescent="0.3">
      <c r="A248" s="1">
        <v>45904</v>
      </c>
      <c r="B248">
        <v>2025</v>
      </c>
      <c r="C248" t="s">
        <v>197</v>
      </c>
      <c r="D248" t="s">
        <v>431</v>
      </c>
      <c r="E248">
        <v>4</v>
      </c>
      <c r="F248" t="s">
        <v>291</v>
      </c>
    </row>
    <row r="249" spans="1:6" x14ac:dyDescent="0.3">
      <c r="A249" s="1">
        <v>45905</v>
      </c>
      <c r="B249">
        <v>2025</v>
      </c>
      <c r="C249" t="s">
        <v>197</v>
      </c>
      <c r="D249" t="s">
        <v>431</v>
      </c>
      <c r="E249">
        <v>5</v>
      </c>
      <c r="F249" t="s">
        <v>291</v>
      </c>
    </row>
    <row r="250" spans="1:6" x14ac:dyDescent="0.3">
      <c r="A250" s="1">
        <v>45906</v>
      </c>
      <c r="B250">
        <v>2025</v>
      </c>
      <c r="C250" t="s">
        <v>197</v>
      </c>
      <c r="D250" t="s">
        <v>431</v>
      </c>
      <c r="E250">
        <v>6</v>
      </c>
      <c r="F250" t="s">
        <v>291</v>
      </c>
    </row>
    <row r="251" spans="1:6" x14ac:dyDescent="0.3">
      <c r="A251" s="1">
        <v>45907</v>
      </c>
      <c r="B251">
        <v>2025</v>
      </c>
      <c r="C251" t="s">
        <v>197</v>
      </c>
      <c r="D251" t="s">
        <v>431</v>
      </c>
      <c r="E251">
        <v>7</v>
      </c>
      <c r="F251" t="s">
        <v>291</v>
      </c>
    </row>
    <row r="252" spans="1:6" x14ac:dyDescent="0.3">
      <c r="A252" s="1">
        <v>45908</v>
      </c>
      <c r="B252">
        <v>2025</v>
      </c>
      <c r="C252" t="s">
        <v>197</v>
      </c>
      <c r="D252" t="s">
        <v>431</v>
      </c>
      <c r="E252">
        <v>8</v>
      </c>
      <c r="F252" t="s">
        <v>291</v>
      </c>
    </row>
    <row r="253" spans="1:6" x14ac:dyDescent="0.3">
      <c r="A253" s="1">
        <v>45909</v>
      </c>
      <c r="B253">
        <v>2025</v>
      </c>
      <c r="C253" t="s">
        <v>197</v>
      </c>
      <c r="D253" t="s">
        <v>431</v>
      </c>
      <c r="E253">
        <v>9</v>
      </c>
      <c r="F253" t="s">
        <v>291</v>
      </c>
    </row>
    <row r="254" spans="1:6" x14ac:dyDescent="0.3">
      <c r="A254" s="1">
        <v>45910</v>
      </c>
      <c r="B254">
        <v>2025</v>
      </c>
      <c r="C254" t="s">
        <v>197</v>
      </c>
      <c r="D254" t="s">
        <v>431</v>
      </c>
      <c r="E254">
        <v>10</v>
      </c>
      <c r="F254" t="s">
        <v>291</v>
      </c>
    </row>
    <row r="255" spans="1:6" x14ac:dyDescent="0.3">
      <c r="A255" s="1">
        <v>45911</v>
      </c>
      <c r="B255">
        <v>2025</v>
      </c>
      <c r="C255" t="s">
        <v>197</v>
      </c>
      <c r="D255" t="s">
        <v>431</v>
      </c>
      <c r="E255">
        <v>11</v>
      </c>
      <c r="F255" t="s">
        <v>291</v>
      </c>
    </row>
    <row r="256" spans="1:6" x14ac:dyDescent="0.3">
      <c r="A256" s="1">
        <v>45912</v>
      </c>
      <c r="B256">
        <v>2025</v>
      </c>
      <c r="C256" t="s">
        <v>197</v>
      </c>
      <c r="D256" t="s">
        <v>431</v>
      </c>
      <c r="E256">
        <v>12</v>
      </c>
      <c r="F256" t="s">
        <v>291</v>
      </c>
    </row>
    <row r="257" spans="1:6" x14ac:dyDescent="0.3">
      <c r="A257" s="1">
        <v>45913</v>
      </c>
      <c r="B257">
        <v>2025</v>
      </c>
      <c r="C257" t="s">
        <v>197</v>
      </c>
      <c r="D257" t="s">
        <v>431</v>
      </c>
      <c r="E257">
        <v>13</v>
      </c>
      <c r="F257" t="s">
        <v>291</v>
      </c>
    </row>
    <row r="258" spans="1:6" x14ac:dyDescent="0.3">
      <c r="A258" s="1">
        <v>45914</v>
      </c>
      <c r="B258">
        <v>2025</v>
      </c>
      <c r="C258" t="s">
        <v>197</v>
      </c>
      <c r="D258" t="s">
        <v>431</v>
      </c>
      <c r="E258">
        <v>14</v>
      </c>
      <c r="F258" t="s">
        <v>291</v>
      </c>
    </row>
    <row r="259" spans="1:6" x14ac:dyDescent="0.3">
      <c r="A259" s="1">
        <v>45915</v>
      </c>
      <c r="B259">
        <v>2025</v>
      </c>
      <c r="C259" t="s">
        <v>197</v>
      </c>
      <c r="D259" t="s">
        <v>431</v>
      </c>
      <c r="E259">
        <v>15</v>
      </c>
      <c r="F259" t="s">
        <v>291</v>
      </c>
    </row>
    <row r="260" spans="1:6" x14ac:dyDescent="0.3">
      <c r="A260" s="1">
        <v>45916</v>
      </c>
      <c r="B260">
        <v>2025</v>
      </c>
      <c r="C260" t="s">
        <v>197</v>
      </c>
      <c r="D260" t="s">
        <v>431</v>
      </c>
      <c r="E260">
        <v>16</v>
      </c>
      <c r="F260" t="s">
        <v>291</v>
      </c>
    </row>
    <row r="261" spans="1:6" x14ac:dyDescent="0.3">
      <c r="A261" s="1">
        <v>45917</v>
      </c>
      <c r="B261">
        <v>2025</v>
      </c>
      <c r="C261" t="s">
        <v>197</v>
      </c>
      <c r="D261" t="s">
        <v>431</v>
      </c>
      <c r="E261">
        <v>17</v>
      </c>
      <c r="F261" t="s">
        <v>291</v>
      </c>
    </row>
    <row r="262" spans="1:6" x14ac:dyDescent="0.3">
      <c r="A262" s="1">
        <v>45918</v>
      </c>
      <c r="B262">
        <v>2025</v>
      </c>
      <c r="C262" t="s">
        <v>197</v>
      </c>
      <c r="D262" t="s">
        <v>431</v>
      </c>
      <c r="E262">
        <v>18</v>
      </c>
      <c r="F262" t="s">
        <v>291</v>
      </c>
    </row>
    <row r="263" spans="1:6" x14ac:dyDescent="0.3">
      <c r="A263" s="1">
        <v>45919</v>
      </c>
      <c r="B263">
        <v>2025</v>
      </c>
      <c r="C263" t="s">
        <v>197</v>
      </c>
      <c r="D263" t="s">
        <v>431</v>
      </c>
      <c r="E263">
        <v>19</v>
      </c>
      <c r="F263" t="s">
        <v>291</v>
      </c>
    </row>
    <row r="264" spans="1:6" x14ac:dyDescent="0.3">
      <c r="A264" s="1">
        <v>45920</v>
      </c>
      <c r="B264">
        <v>2025</v>
      </c>
      <c r="C264" t="s">
        <v>197</v>
      </c>
      <c r="D264" t="s">
        <v>431</v>
      </c>
      <c r="E264">
        <v>20</v>
      </c>
      <c r="F264" t="s">
        <v>291</v>
      </c>
    </row>
    <row r="265" spans="1:6" x14ac:dyDescent="0.3">
      <c r="A265" s="1">
        <v>45921</v>
      </c>
      <c r="B265">
        <v>2025</v>
      </c>
      <c r="C265" t="s">
        <v>197</v>
      </c>
      <c r="D265" t="s">
        <v>431</v>
      </c>
      <c r="E265">
        <v>21</v>
      </c>
      <c r="F265" t="s">
        <v>291</v>
      </c>
    </row>
    <row r="266" spans="1:6" x14ac:dyDescent="0.3">
      <c r="A266" s="1">
        <v>45922</v>
      </c>
      <c r="B266">
        <v>2025</v>
      </c>
      <c r="C266" t="s">
        <v>197</v>
      </c>
      <c r="D266" t="s">
        <v>431</v>
      </c>
      <c r="E266">
        <v>22</v>
      </c>
      <c r="F266" t="s">
        <v>291</v>
      </c>
    </row>
    <row r="267" spans="1:6" x14ac:dyDescent="0.3">
      <c r="A267" s="1">
        <v>45923</v>
      </c>
      <c r="B267">
        <v>2025</v>
      </c>
      <c r="C267" t="s">
        <v>197</v>
      </c>
      <c r="D267" t="s">
        <v>431</v>
      </c>
      <c r="E267">
        <v>23</v>
      </c>
      <c r="F267" t="s">
        <v>291</v>
      </c>
    </row>
    <row r="268" spans="1:6" x14ac:dyDescent="0.3">
      <c r="A268" s="1">
        <v>45924</v>
      </c>
      <c r="B268">
        <v>2025</v>
      </c>
      <c r="C268" t="s">
        <v>197</v>
      </c>
      <c r="D268" t="s">
        <v>431</v>
      </c>
      <c r="E268">
        <v>24</v>
      </c>
      <c r="F268" t="s">
        <v>291</v>
      </c>
    </row>
    <row r="269" spans="1:6" x14ac:dyDescent="0.3">
      <c r="A269" s="1">
        <v>45925</v>
      </c>
      <c r="B269">
        <v>2025</v>
      </c>
      <c r="C269" t="s">
        <v>197</v>
      </c>
      <c r="D269" t="s">
        <v>431</v>
      </c>
      <c r="E269">
        <v>25</v>
      </c>
      <c r="F269" t="s">
        <v>291</v>
      </c>
    </row>
    <row r="270" spans="1:6" x14ac:dyDescent="0.3">
      <c r="A270" s="1">
        <v>45926</v>
      </c>
      <c r="B270">
        <v>2025</v>
      </c>
      <c r="C270" t="s">
        <v>197</v>
      </c>
      <c r="D270" t="s">
        <v>431</v>
      </c>
      <c r="E270">
        <v>26</v>
      </c>
      <c r="F270" t="s">
        <v>291</v>
      </c>
    </row>
    <row r="271" spans="1:6" x14ac:dyDescent="0.3">
      <c r="A271" s="1">
        <v>45927</v>
      </c>
      <c r="B271">
        <v>2025</v>
      </c>
      <c r="C271" t="s">
        <v>197</v>
      </c>
      <c r="D271" t="s">
        <v>431</v>
      </c>
      <c r="E271">
        <v>27</v>
      </c>
      <c r="F271" t="s">
        <v>291</v>
      </c>
    </row>
    <row r="272" spans="1:6" x14ac:dyDescent="0.3">
      <c r="A272" s="1">
        <v>45928</v>
      </c>
      <c r="B272">
        <v>2025</v>
      </c>
      <c r="C272" t="s">
        <v>197</v>
      </c>
      <c r="D272" t="s">
        <v>431</v>
      </c>
      <c r="E272">
        <v>28</v>
      </c>
      <c r="F272" t="s">
        <v>291</v>
      </c>
    </row>
    <row r="273" spans="1:6" x14ac:dyDescent="0.3">
      <c r="A273" s="1">
        <v>45929</v>
      </c>
      <c r="B273">
        <v>2025</v>
      </c>
      <c r="C273" t="s">
        <v>197</v>
      </c>
      <c r="D273" t="s">
        <v>431</v>
      </c>
      <c r="E273">
        <v>29</v>
      </c>
      <c r="F273" t="s">
        <v>291</v>
      </c>
    </row>
    <row r="274" spans="1:6" x14ac:dyDescent="0.3">
      <c r="A274" s="1">
        <v>45930</v>
      </c>
      <c r="B274">
        <v>2025</v>
      </c>
      <c r="C274" t="s">
        <v>197</v>
      </c>
      <c r="D274" t="s">
        <v>431</v>
      </c>
      <c r="E274">
        <v>30</v>
      </c>
      <c r="F274" t="s">
        <v>291</v>
      </c>
    </row>
    <row r="275" spans="1:6" x14ac:dyDescent="0.3">
      <c r="A275" s="1">
        <v>45931</v>
      </c>
      <c r="B275">
        <v>2025</v>
      </c>
      <c r="C275" t="s">
        <v>209</v>
      </c>
      <c r="D275" t="s">
        <v>432</v>
      </c>
      <c r="E275">
        <v>1</v>
      </c>
      <c r="F275" t="s">
        <v>292</v>
      </c>
    </row>
    <row r="276" spans="1:6" x14ac:dyDescent="0.3">
      <c r="A276" s="1">
        <v>45932</v>
      </c>
      <c r="B276">
        <v>2025</v>
      </c>
      <c r="C276" t="s">
        <v>209</v>
      </c>
      <c r="D276" t="s">
        <v>432</v>
      </c>
      <c r="E276">
        <v>2</v>
      </c>
      <c r="F276" t="s">
        <v>292</v>
      </c>
    </row>
    <row r="277" spans="1:6" x14ac:dyDescent="0.3">
      <c r="A277" s="1">
        <v>45933</v>
      </c>
      <c r="B277">
        <v>2025</v>
      </c>
      <c r="C277" t="s">
        <v>209</v>
      </c>
      <c r="D277" t="s">
        <v>432</v>
      </c>
      <c r="E277">
        <v>3</v>
      </c>
      <c r="F277" t="s">
        <v>292</v>
      </c>
    </row>
    <row r="278" spans="1:6" x14ac:dyDescent="0.3">
      <c r="A278" s="1">
        <v>45934</v>
      </c>
      <c r="B278">
        <v>2025</v>
      </c>
      <c r="C278" t="s">
        <v>209</v>
      </c>
      <c r="D278" t="s">
        <v>432</v>
      </c>
      <c r="E278">
        <v>4</v>
      </c>
      <c r="F278" t="s">
        <v>292</v>
      </c>
    </row>
    <row r="279" spans="1:6" x14ac:dyDescent="0.3">
      <c r="A279" s="1">
        <v>45935</v>
      </c>
      <c r="B279">
        <v>2025</v>
      </c>
      <c r="C279" t="s">
        <v>209</v>
      </c>
      <c r="D279" t="s">
        <v>432</v>
      </c>
      <c r="E279">
        <v>5</v>
      </c>
      <c r="F279" t="s">
        <v>292</v>
      </c>
    </row>
    <row r="280" spans="1:6" x14ac:dyDescent="0.3">
      <c r="A280" s="1">
        <v>45936</v>
      </c>
      <c r="B280">
        <v>2025</v>
      </c>
      <c r="C280" t="s">
        <v>209</v>
      </c>
      <c r="D280" t="s">
        <v>432</v>
      </c>
      <c r="E280">
        <v>6</v>
      </c>
      <c r="F280" t="s">
        <v>292</v>
      </c>
    </row>
    <row r="281" spans="1:6" x14ac:dyDescent="0.3">
      <c r="A281" s="1">
        <v>45937</v>
      </c>
      <c r="B281">
        <v>2025</v>
      </c>
      <c r="C281" t="s">
        <v>209</v>
      </c>
      <c r="D281" t="s">
        <v>432</v>
      </c>
      <c r="E281">
        <v>7</v>
      </c>
      <c r="F281" t="s">
        <v>292</v>
      </c>
    </row>
    <row r="282" spans="1:6" x14ac:dyDescent="0.3">
      <c r="A282" s="1">
        <v>45938</v>
      </c>
      <c r="B282">
        <v>2025</v>
      </c>
      <c r="C282" t="s">
        <v>209</v>
      </c>
      <c r="D282" t="s">
        <v>432</v>
      </c>
      <c r="E282">
        <v>8</v>
      </c>
      <c r="F282" t="s">
        <v>292</v>
      </c>
    </row>
    <row r="283" spans="1:6" x14ac:dyDescent="0.3">
      <c r="A283" s="1">
        <v>45939</v>
      </c>
      <c r="B283">
        <v>2025</v>
      </c>
      <c r="C283" t="s">
        <v>209</v>
      </c>
      <c r="D283" t="s">
        <v>432</v>
      </c>
      <c r="E283">
        <v>9</v>
      </c>
      <c r="F283" t="s">
        <v>292</v>
      </c>
    </row>
    <row r="284" spans="1:6" x14ac:dyDescent="0.3">
      <c r="A284" s="1">
        <v>45940</v>
      </c>
      <c r="B284">
        <v>2025</v>
      </c>
      <c r="C284" t="s">
        <v>209</v>
      </c>
      <c r="D284" t="s">
        <v>432</v>
      </c>
      <c r="E284">
        <v>10</v>
      </c>
      <c r="F284" t="s">
        <v>292</v>
      </c>
    </row>
    <row r="285" spans="1:6" x14ac:dyDescent="0.3">
      <c r="A285" s="1">
        <v>45941</v>
      </c>
      <c r="B285">
        <v>2025</v>
      </c>
      <c r="C285" t="s">
        <v>209</v>
      </c>
      <c r="D285" t="s">
        <v>432</v>
      </c>
      <c r="E285">
        <v>11</v>
      </c>
      <c r="F285" t="s">
        <v>292</v>
      </c>
    </row>
    <row r="286" spans="1:6" x14ac:dyDescent="0.3">
      <c r="A286" s="1">
        <v>45942</v>
      </c>
      <c r="B286">
        <v>2025</v>
      </c>
      <c r="C286" t="s">
        <v>209</v>
      </c>
      <c r="D286" t="s">
        <v>432</v>
      </c>
      <c r="E286">
        <v>12</v>
      </c>
      <c r="F286" t="s">
        <v>292</v>
      </c>
    </row>
    <row r="287" spans="1:6" x14ac:dyDescent="0.3">
      <c r="A287" s="1">
        <v>45943</v>
      </c>
      <c r="B287">
        <v>2025</v>
      </c>
      <c r="C287" t="s">
        <v>209</v>
      </c>
      <c r="D287" t="s">
        <v>432</v>
      </c>
      <c r="E287">
        <v>13</v>
      </c>
      <c r="F287" t="s">
        <v>292</v>
      </c>
    </row>
    <row r="288" spans="1:6" x14ac:dyDescent="0.3">
      <c r="A288" s="1">
        <v>45944</v>
      </c>
      <c r="B288">
        <v>2025</v>
      </c>
      <c r="C288" t="s">
        <v>209</v>
      </c>
      <c r="D288" t="s">
        <v>432</v>
      </c>
      <c r="E288">
        <v>14</v>
      </c>
      <c r="F288" t="s">
        <v>292</v>
      </c>
    </row>
    <row r="289" spans="1:6" x14ac:dyDescent="0.3">
      <c r="A289" s="1">
        <v>45945</v>
      </c>
      <c r="B289">
        <v>2025</v>
      </c>
      <c r="C289" t="s">
        <v>209</v>
      </c>
      <c r="D289" t="s">
        <v>432</v>
      </c>
      <c r="E289">
        <v>15</v>
      </c>
      <c r="F289" t="s">
        <v>292</v>
      </c>
    </row>
    <row r="290" spans="1:6" x14ac:dyDescent="0.3">
      <c r="A290" s="1">
        <v>45946</v>
      </c>
      <c r="B290">
        <v>2025</v>
      </c>
      <c r="C290" t="s">
        <v>209</v>
      </c>
      <c r="D290" t="s">
        <v>432</v>
      </c>
      <c r="E290">
        <v>16</v>
      </c>
      <c r="F290" t="s">
        <v>292</v>
      </c>
    </row>
    <row r="291" spans="1:6" x14ac:dyDescent="0.3">
      <c r="A291" s="1">
        <v>45947</v>
      </c>
      <c r="B291">
        <v>2025</v>
      </c>
      <c r="C291" t="s">
        <v>209</v>
      </c>
      <c r="D291" t="s">
        <v>432</v>
      </c>
      <c r="E291">
        <v>17</v>
      </c>
      <c r="F291" t="s">
        <v>292</v>
      </c>
    </row>
    <row r="292" spans="1:6" x14ac:dyDescent="0.3">
      <c r="A292" s="1">
        <v>45948</v>
      </c>
      <c r="B292">
        <v>2025</v>
      </c>
      <c r="C292" t="s">
        <v>209</v>
      </c>
      <c r="D292" t="s">
        <v>432</v>
      </c>
      <c r="E292">
        <v>18</v>
      </c>
      <c r="F292" t="s">
        <v>292</v>
      </c>
    </row>
    <row r="293" spans="1:6" x14ac:dyDescent="0.3">
      <c r="A293" s="1">
        <v>45949</v>
      </c>
      <c r="B293">
        <v>2025</v>
      </c>
      <c r="C293" t="s">
        <v>209</v>
      </c>
      <c r="D293" t="s">
        <v>432</v>
      </c>
      <c r="E293">
        <v>19</v>
      </c>
      <c r="F293" t="s">
        <v>292</v>
      </c>
    </row>
    <row r="294" spans="1:6" x14ac:dyDescent="0.3">
      <c r="A294" s="1">
        <v>45950</v>
      </c>
      <c r="B294">
        <v>2025</v>
      </c>
      <c r="C294" t="s">
        <v>209</v>
      </c>
      <c r="D294" t="s">
        <v>432</v>
      </c>
      <c r="E294">
        <v>20</v>
      </c>
      <c r="F294" t="s">
        <v>292</v>
      </c>
    </row>
    <row r="295" spans="1:6" x14ac:dyDescent="0.3">
      <c r="A295" s="1">
        <v>45951</v>
      </c>
      <c r="B295">
        <v>2025</v>
      </c>
      <c r="C295" t="s">
        <v>209</v>
      </c>
      <c r="D295" t="s">
        <v>432</v>
      </c>
      <c r="E295">
        <v>21</v>
      </c>
      <c r="F295" t="s">
        <v>292</v>
      </c>
    </row>
    <row r="296" spans="1:6" x14ac:dyDescent="0.3">
      <c r="A296" s="1">
        <v>45952</v>
      </c>
      <c r="B296">
        <v>2025</v>
      </c>
      <c r="C296" t="s">
        <v>209</v>
      </c>
      <c r="D296" t="s">
        <v>432</v>
      </c>
      <c r="E296">
        <v>22</v>
      </c>
      <c r="F296" t="s">
        <v>292</v>
      </c>
    </row>
    <row r="297" spans="1:6" x14ac:dyDescent="0.3">
      <c r="A297" s="1">
        <v>45953</v>
      </c>
      <c r="B297">
        <v>2025</v>
      </c>
      <c r="C297" t="s">
        <v>209</v>
      </c>
      <c r="D297" t="s">
        <v>432</v>
      </c>
      <c r="E297">
        <v>23</v>
      </c>
      <c r="F297" t="s">
        <v>292</v>
      </c>
    </row>
    <row r="298" spans="1:6" x14ac:dyDescent="0.3">
      <c r="A298" s="1">
        <v>45954</v>
      </c>
      <c r="B298">
        <v>2025</v>
      </c>
      <c r="C298" t="s">
        <v>209</v>
      </c>
      <c r="D298" t="s">
        <v>432</v>
      </c>
      <c r="E298">
        <v>24</v>
      </c>
      <c r="F298" t="s">
        <v>292</v>
      </c>
    </row>
    <row r="299" spans="1:6" x14ac:dyDescent="0.3">
      <c r="A299" s="1">
        <v>45955</v>
      </c>
      <c r="B299">
        <v>2025</v>
      </c>
      <c r="C299" t="s">
        <v>209</v>
      </c>
      <c r="D299" t="s">
        <v>432</v>
      </c>
      <c r="E299">
        <v>25</v>
      </c>
      <c r="F299" t="s">
        <v>292</v>
      </c>
    </row>
    <row r="300" spans="1:6" x14ac:dyDescent="0.3">
      <c r="A300" s="1">
        <v>45956</v>
      </c>
      <c r="B300">
        <v>2025</v>
      </c>
      <c r="C300" t="s">
        <v>209</v>
      </c>
      <c r="D300" t="s">
        <v>432</v>
      </c>
      <c r="E300">
        <v>26</v>
      </c>
      <c r="F300" t="s">
        <v>292</v>
      </c>
    </row>
    <row r="301" spans="1:6" x14ac:dyDescent="0.3">
      <c r="A301" s="1">
        <v>45957</v>
      </c>
      <c r="B301">
        <v>2025</v>
      </c>
      <c r="C301" t="s">
        <v>209</v>
      </c>
      <c r="D301" t="s">
        <v>432</v>
      </c>
      <c r="E301">
        <v>27</v>
      </c>
      <c r="F301" t="s">
        <v>292</v>
      </c>
    </row>
    <row r="302" spans="1:6" x14ac:dyDescent="0.3">
      <c r="A302" s="1">
        <v>45958</v>
      </c>
      <c r="B302">
        <v>2025</v>
      </c>
      <c r="C302" t="s">
        <v>209</v>
      </c>
      <c r="D302" t="s">
        <v>432</v>
      </c>
      <c r="E302">
        <v>28</v>
      </c>
      <c r="F302" t="s">
        <v>292</v>
      </c>
    </row>
    <row r="303" spans="1:6" x14ac:dyDescent="0.3">
      <c r="A303" s="1">
        <v>45959</v>
      </c>
      <c r="B303">
        <v>2025</v>
      </c>
      <c r="C303" t="s">
        <v>209</v>
      </c>
      <c r="D303" t="s">
        <v>432</v>
      </c>
      <c r="E303">
        <v>29</v>
      </c>
      <c r="F303" t="s">
        <v>292</v>
      </c>
    </row>
    <row r="304" spans="1:6" x14ac:dyDescent="0.3">
      <c r="A304" s="1">
        <v>45960</v>
      </c>
      <c r="B304">
        <v>2025</v>
      </c>
      <c r="C304" t="s">
        <v>209</v>
      </c>
      <c r="D304" t="s">
        <v>432</v>
      </c>
      <c r="E304">
        <v>30</v>
      </c>
      <c r="F304" t="s">
        <v>292</v>
      </c>
    </row>
    <row r="305" spans="1:6" x14ac:dyDescent="0.3">
      <c r="A305" s="1">
        <v>45961</v>
      </c>
      <c r="B305">
        <v>2025</v>
      </c>
      <c r="C305" t="s">
        <v>209</v>
      </c>
      <c r="D305" t="s">
        <v>432</v>
      </c>
      <c r="E305">
        <v>31</v>
      </c>
      <c r="F305" t="s">
        <v>292</v>
      </c>
    </row>
    <row r="306" spans="1:6" x14ac:dyDescent="0.3">
      <c r="A306" s="1">
        <v>45962</v>
      </c>
      <c r="B306">
        <v>2025</v>
      </c>
      <c r="C306" t="s">
        <v>209</v>
      </c>
      <c r="D306" t="s">
        <v>433</v>
      </c>
      <c r="E306">
        <v>1</v>
      </c>
      <c r="F306" t="s">
        <v>293</v>
      </c>
    </row>
    <row r="307" spans="1:6" x14ac:dyDescent="0.3">
      <c r="A307" s="1">
        <v>45963</v>
      </c>
      <c r="B307">
        <v>2025</v>
      </c>
      <c r="C307" t="s">
        <v>209</v>
      </c>
      <c r="D307" t="s">
        <v>433</v>
      </c>
      <c r="E307">
        <v>2</v>
      </c>
      <c r="F307" t="s">
        <v>293</v>
      </c>
    </row>
    <row r="308" spans="1:6" x14ac:dyDescent="0.3">
      <c r="A308" s="1">
        <v>45964</v>
      </c>
      <c r="B308">
        <v>2025</v>
      </c>
      <c r="C308" t="s">
        <v>209</v>
      </c>
      <c r="D308" t="s">
        <v>433</v>
      </c>
      <c r="E308">
        <v>3</v>
      </c>
      <c r="F308" t="s">
        <v>293</v>
      </c>
    </row>
    <row r="309" spans="1:6" x14ac:dyDescent="0.3">
      <c r="A309" s="1">
        <v>45965</v>
      </c>
      <c r="B309">
        <v>2025</v>
      </c>
      <c r="C309" t="s">
        <v>209</v>
      </c>
      <c r="D309" t="s">
        <v>433</v>
      </c>
      <c r="E309">
        <v>4</v>
      </c>
      <c r="F309" t="s">
        <v>293</v>
      </c>
    </row>
    <row r="310" spans="1:6" x14ac:dyDescent="0.3">
      <c r="A310" s="1">
        <v>45966</v>
      </c>
      <c r="B310">
        <v>2025</v>
      </c>
      <c r="C310" t="s">
        <v>209</v>
      </c>
      <c r="D310" t="s">
        <v>433</v>
      </c>
      <c r="E310">
        <v>5</v>
      </c>
      <c r="F310" t="s">
        <v>293</v>
      </c>
    </row>
    <row r="311" spans="1:6" x14ac:dyDescent="0.3">
      <c r="A311" s="1">
        <v>45967</v>
      </c>
      <c r="B311">
        <v>2025</v>
      </c>
      <c r="C311" t="s">
        <v>209</v>
      </c>
      <c r="D311" t="s">
        <v>433</v>
      </c>
      <c r="E311">
        <v>6</v>
      </c>
      <c r="F311" t="s">
        <v>293</v>
      </c>
    </row>
    <row r="312" spans="1:6" x14ac:dyDescent="0.3">
      <c r="A312" s="1">
        <v>45968</v>
      </c>
      <c r="B312">
        <v>2025</v>
      </c>
      <c r="C312" t="s">
        <v>209</v>
      </c>
      <c r="D312" t="s">
        <v>433</v>
      </c>
      <c r="E312">
        <v>7</v>
      </c>
      <c r="F312" t="s">
        <v>293</v>
      </c>
    </row>
    <row r="313" spans="1:6" x14ac:dyDescent="0.3">
      <c r="A313" s="1">
        <v>45969</v>
      </c>
      <c r="B313">
        <v>2025</v>
      </c>
      <c r="C313" t="s">
        <v>209</v>
      </c>
      <c r="D313" t="s">
        <v>433</v>
      </c>
      <c r="E313">
        <v>8</v>
      </c>
      <c r="F313" t="s">
        <v>293</v>
      </c>
    </row>
    <row r="314" spans="1:6" x14ac:dyDescent="0.3">
      <c r="A314" s="1">
        <v>45970</v>
      </c>
      <c r="B314">
        <v>2025</v>
      </c>
      <c r="C314" t="s">
        <v>209</v>
      </c>
      <c r="D314" t="s">
        <v>433</v>
      </c>
      <c r="E314">
        <v>9</v>
      </c>
      <c r="F314" t="s">
        <v>293</v>
      </c>
    </row>
    <row r="315" spans="1:6" x14ac:dyDescent="0.3">
      <c r="A315" s="1">
        <v>45971</v>
      </c>
      <c r="B315">
        <v>2025</v>
      </c>
      <c r="C315" t="s">
        <v>209</v>
      </c>
      <c r="D315" t="s">
        <v>433</v>
      </c>
      <c r="E315">
        <v>10</v>
      </c>
      <c r="F315" t="s">
        <v>293</v>
      </c>
    </row>
    <row r="316" spans="1:6" x14ac:dyDescent="0.3">
      <c r="A316" s="1">
        <v>45972</v>
      </c>
      <c r="B316">
        <v>2025</v>
      </c>
      <c r="C316" t="s">
        <v>209</v>
      </c>
      <c r="D316" t="s">
        <v>433</v>
      </c>
      <c r="E316">
        <v>11</v>
      </c>
      <c r="F316" t="s">
        <v>293</v>
      </c>
    </row>
    <row r="317" spans="1:6" x14ac:dyDescent="0.3">
      <c r="A317" s="1">
        <v>45973</v>
      </c>
      <c r="B317">
        <v>2025</v>
      </c>
      <c r="C317" t="s">
        <v>209</v>
      </c>
      <c r="D317" t="s">
        <v>433</v>
      </c>
      <c r="E317">
        <v>12</v>
      </c>
      <c r="F317" t="s">
        <v>293</v>
      </c>
    </row>
    <row r="318" spans="1:6" x14ac:dyDescent="0.3">
      <c r="A318" s="1">
        <v>45974</v>
      </c>
      <c r="B318">
        <v>2025</v>
      </c>
      <c r="C318" t="s">
        <v>209</v>
      </c>
      <c r="D318" t="s">
        <v>433</v>
      </c>
      <c r="E318">
        <v>13</v>
      </c>
      <c r="F318" t="s">
        <v>293</v>
      </c>
    </row>
    <row r="319" spans="1:6" x14ac:dyDescent="0.3">
      <c r="A319" s="1">
        <v>45975</v>
      </c>
      <c r="B319">
        <v>2025</v>
      </c>
      <c r="C319" t="s">
        <v>209</v>
      </c>
      <c r="D319" t="s">
        <v>433</v>
      </c>
      <c r="E319">
        <v>14</v>
      </c>
      <c r="F319" t="s">
        <v>293</v>
      </c>
    </row>
    <row r="320" spans="1:6" x14ac:dyDescent="0.3">
      <c r="A320" s="1">
        <v>45976</v>
      </c>
      <c r="B320">
        <v>2025</v>
      </c>
      <c r="C320" t="s">
        <v>209</v>
      </c>
      <c r="D320" t="s">
        <v>433</v>
      </c>
      <c r="E320">
        <v>15</v>
      </c>
      <c r="F320" t="s">
        <v>293</v>
      </c>
    </row>
    <row r="321" spans="1:6" x14ac:dyDescent="0.3">
      <c r="A321" s="1">
        <v>45977</v>
      </c>
      <c r="B321">
        <v>2025</v>
      </c>
      <c r="C321" t="s">
        <v>209</v>
      </c>
      <c r="D321" t="s">
        <v>433</v>
      </c>
      <c r="E321">
        <v>16</v>
      </c>
      <c r="F321" t="s">
        <v>293</v>
      </c>
    </row>
    <row r="322" spans="1:6" x14ac:dyDescent="0.3">
      <c r="A322" s="1">
        <v>45978</v>
      </c>
      <c r="B322">
        <v>2025</v>
      </c>
      <c r="C322" t="s">
        <v>209</v>
      </c>
      <c r="D322" t="s">
        <v>433</v>
      </c>
      <c r="E322">
        <v>17</v>
      </c>
      <c r="F322" t="s">
        <v>293</v>
      </c>
    </row>
    <row r="323" spans="1:6" x14ac:dyDescent="0.3">
      <c r="A323" s="1">
        <v>45979</v>
      </c>
      <c r="B323">
        <v>2025</v>
      </c>
      <c r="C323" t="s">
        <v>209</v>
      </c>
      <c r="D323" t="s">
        <v>433</v>
      </c>
      <c r="E323">
        <v>18</v>
      </c>
      <c r="F323" t="s">
        <v>293</v>
      </c>
    </row>
    <row r="324" spans="1:6" x14ac:dyDescent="0.3">
      <c r="A324" s="1">
        <v>45980</v>
      </c>
      <c r="B324">
        <v>2025</v>
      </c>
      <c r="C324" t="s">
        <v>209</v>
      </c>
      <c r="D324" t="s">
        <v>433</v>
      </c>
      <c r="E324">
        <v>19</v>
      </c>
      <c r="F324" t="s">
        <v>293</v>
      </c>
    </row>
    <row r="325" spans="1:6" x14ac:dyDescent="0.3">
      <c r="A325" s="1">
        <v>45981</v>
      </c>
      <c r="B325">
        <v>2025</v>
      </c>
      <c r="C325" t="s">
        <v>209</v>
      </c>
      <c r="D325" t="s">
        <v>433</v>
      </c>
      <c r="E325">
        <v>20</v>
      </c>
      <c r="F325" t="s">
        <v>293</v>
      </c>
    </row>
    <row r="326" spans="1:6" x14ac:dyDescent="0.3">
      <c r="A326" s="1">
        <v>45982</v>
      </c>
      <c r="B326">
        <v>2025</v>
      </c>
      <c r="C326" t="s">
        <v>209</v>
      </c>
      <c r="D326" t="s">
        <v>433</v>
      </c>
      <c r="E326">
        <v>21</v>
      </c>
      <c r="F326" t="s">
        <v>293</v>
      </c>
    </row>
    <row r="327" spans="1:6" x14ac:dyDescent="0.3">
      <c r="A327" s="1">
        <v>45983</v>
      </c>
      <c r="B327">
        <v>2025</v>
      </c>
      <c r="C327" t="s">
        <v>209</v>
      </c>
      <c r="D327" t="s">
        <v>433</v>
      </c>
      <c r="E327">
        <v>22</v>
      </c>
      <c r="F327" t="s">
        <v>293</v>
      </c>
    </row>
    <row r="328" spans="1:6" x14ac:dyDescent="0.3">
      <c r="A328" s="1">
        <v>45984</v>
      </c>
      <c r="B328">
        <v>2025</v>
      </c>
      <c r="C328" t="s">
        <v>209</v>
      </c>
      <c r="D328" t="s">
        <v>433</v>
      </c>
      <c r="E328">
        <v>23</v>
      </c>
      <c r="F328" t="s">
        <v>293</v>
      </c>
    </row>
    <row r="329" spans="1:6" x14ac:dyDescent="0.3">
      <c r="A329" s="1">
        <v>45985</v>
      </c>
      <c r="B329">
        <v>2025</v>
      </c>
      <c r="C329" t="s">
        <v>209</v>
      </c>
      <c r="D329" t="s">
        <v>433</v>
      </c>
      <c r="E329">
        <v>24</v>
      </c>
      <c r="F329" t="s">
        <v>293</v>
      </c>
    </row>
    <row r="330" spans="1:6" x14ac:dyDescent="0.3">
      <c r="A330" s="1">
        <v>45986</v>
      </c>
      <c r="B330">
        <v>2025</v>
      </c>
      <c r="C330" t="s">
        <v>209</v>
      </c>
      <c r="D330" t="s">
        <v>433</v>
      </c>
      <c r="E330">
        <v>25</v>
      </c>
      <c r="F330" t="s">
        <v>293</v>
      </c>
    </row>
    <row r="331" spans="1:6" x14ac:dyDescent="0.3">
      <c r="A331" s="1">
        <v>45987</v>
      </c>
      <c r="B331">
        <v>2025</v>
      </c>
      <c r="C331" t="s">
        <v>209</v>
      </c>
      <c r="D331" t="s">
        <v>433</v>
      </c>
      <c r="E331">
        <v>26</v>
      </c>
      <c r="F331" t="s">
        <v>293</v>
      </c>
    </row>
    <row r="332" spans="1:6" x14ac:dyDescent="0.3">
      <c r="A332" s="1">
        <v>45988</v>
      </c>
      <c r="B332">
        <v>2025</v>
      </c>
      <c r="C332" t="s">
        <v>209</v>
      </c>
      <c r="D332" t="s">
        <v>433</v>
      </c>
      <c r="E332">
        <v>27</v>
      </c>
      <c r="F332" t="s">
        <v>293</v>
      </c>
    </row>
    <row r="333" spans="1:6" x14ac:dyDescent="0.3">
      <c r="A333" s="1">
        <v>45989</v>
      </c>
      <c r="B333">
        <v>2025</v>
      </c>
      <c r="C333" t="s">
        <v>209</v>
      </c>
      <c r="D333" t="s">
        <v>433</v>
      </c>
      <c r="E333">
        <v>28</v>
      </c>
      <c r="F333" t="s">
        <v>293</v>
      </c>
    </row>
    <row r="334" spans="1:6" x14ac:dyDescent="0.3">
      <c r="A334" s="1">
        <v>45990</v>
      </c>
      <c r="B334">
        <v>2025</v>
      </c>
      <c r="C334" t="s">
        <v>209</v>
      </c>
      <c r="D334" t="s">
        <v>433</v>
      </c>
      <c r="E334">
        <v>29</v>
      </c>
      <c r="F334" t="s">
        <v>293</v>
      </c>
    </row>
    <row r="335" spans="1:6" x14ac:dyDescent="0.3">
      <c r="A335" s="1">
        <v>45991</v>
      </c>
      <c r="B335">
        <v>2025</v>
      </c>
      <c r="C335" t="s">
        <v>209</v>
      </c>
      <c r="D335" t="s">
        <v>433</v>
      </c>
      <c r="E335">
        <v>30</v>
      </c>
      <c r="F335" t="s">
        <v>293</v>
      </c>
    </row>
    <row r="336" spans="1:6" x14ac:dyDescent="0.3">
      <c r="A336" s="1">
        <v>45992</v>
      </c>
      <c r="B336">
        <v>2025</v>
      </c>
      <c r="C336" t="s">
        <v>209</v>
      </c>
      <c r="D336" t="s">
        <v>434</v>
      </c>
      <c r="E336">
        <v>1</v>
      </c>
      <c r="F336" t="s">
        <v>294</v>
      </c>
    </row>
    <row r="337" spans="1:6" x14ac:dyDescent="0.3">
      <c r="A337" s="1">
        <v>45993</v>
      </c>
      <c r="B337">
        <v>2025</v>
      </c>
      <c r="C337" t="s">
        <v>209</v>
      </c>
      <c r="D337" t="s">
        <v>434</v>
      </c>
      <c r="E337">
        <v>2</v>
      </c>
      <c r="F337" t="s">
        <v>294</v>
      </c>
    </row>
    <row r="338" spans="1:6" x14ac:dyDescent="0.3">
      <c r="A338" s="1">
        <v>45994</v>
      </c>
      <c r="B338">
        <v>2025</v>
      </c>
      <c r="C338" t="s">
        <v>209</v>
      </c>
      <c r="D338" t="s">
        <v>434</v>
      </c>
      <c r="E338">
        <v>3</v>
      </c>
      <c r="F338" t="s">
        <v>294</v>
      </c>
    </row>
    <row r="339" spans="1:6" x14ac:dyDescent="0.3">
      <c r="A339" s="1">
        <v>45995</v>
      </c>
      <c r="B339">
        <v>2025</v>
      </c>
      <c r="C339" t="s">
        <v>209</v>
      </c>
      <c r="D339" t="s">
        <v>434</v>
      </c>
      <c r="E339">
        <v>4</v>
      </c>
      <c r="F339" t="s">
        <v>294</v>
      </c>
    </row>
    <row r="340" spans="1:6" x14ac:dyDescent="0.3">
      <c r="A340" s="1">
        <v>45996</v>
      </c>
      <c r="B340">
        <v>2025</v>
      </c>
      <c r="C340" t="s">
        <v>209</v>
      </c>
      <c r="D340" t="s">
        <v>434</v>
      </c>
      <c r="E340">
        <v>5</v>
      </c>
      <c r="F340" t="s">
        <v>294</v>
      </c>
    </row>
    <row r="341" spans="1:6" x14ac:dyDescent="0.3">
      <c r="A341" s="1">
        <v>45997</v>
      </c>
      <c r="B341">
        <v>2025</v>
      </c>
      <c r="C341" t="s">
        <v>209</v>
      </c>
      <c r="D341" t="s">
        <v>434</v>
      </c>
      <c r="E341">
        <v>6</v>
      </c>
      <c r="F341" t="s">
        <v>294</v>
      </c>
    </row>
    <row r="342" spans="1:6" x14ac:dyDescent="0.3">
      <c r="A342" s="1">
        <v>45998</v>
      </c>
      <c r="B342">
        <v>2025</v>
      </c>
      <c r="C342" t="s">
        <v>209</v>
      </c>
      <c r="D342" t="s">
        <v>434</v>
      </c>
      <c r="E342">
        <v>7</v>
      </c>
      <c r="F342" t="s">
        <v>294</v>
      </c>
    </row>
    <row r="343" spans="1:6" x14ac:dyDescent="0.3">
      <c r="A343" s="1">
        <v>45999</v>
      </c>
      <c r="B343">
        <v>2025</v>
      </c>
      <c r="C343" t="s">
        <v>209</v>
      </c>
      <c r="D343" t="s">
        <v>434</v>
      </c>
      <c r="E343">
        <v>8</v>
      </c>
      <c r="F343" t="s">
        <v>294</v>
      </c>
    </row>
    <row r="344" spans="1:6" x14ac:dyDescent="0.3">
      <c r="A344" s="1">
        <v>46000</v>
      </c>
      <c r="B344">
        <v>2025</v>
      </c>
      <c r="C344" t="s">
        <v>209</v>
      </c>
      <c r="D344" t="s">
        <v>434</v>
      </c>
      <c r="E344">
        <v>9</v>
      </c>
      <c r="F344" t="s">
        <v>294</v>
      </c>
    </row>
    <row r="345" spans="1:6" x14ac:dyDescent="0.3">
      <c r="A345" s="1">
        <v>46001</v>
      </c>
      <c r="B345">
        <v>2025</v>
      </c>
      <c r="C345" t="s">
        <v>209</v>
      </c>
      <c r="D345" t="s">
        <v>434</v>
      </c>
      <c r="E345">
        <v>10</v>
      </c>
      <c r="F345" t="s">
        <v>294</v>
      </c>
    </row>
    <row r="346" spans="1:6" x14ac:dyDescent="0.3">
      <c r="A346" s="1">
        <v>46002</v>
      </c>
      <c r="B346">
        <v>2025</v>
      </c>
      <c r="C346" t="s">
        <v>209</v>
      </c>
      <c r="D346" t="s">
        <v>434</v>
      </c>
      <c r="E346">
        <v>11</v>
      </c>
      <c r="F346" t="s">
        <v>294</v>
      </c>
    </row>
    <row r="347" spans="1:6" x14ac:dyDescent="0.3">
      <c r="A347" s="1">
        <v>46003</v>
      </c>
      <c r="B347">
        <v>2025</v>
      </c>
      <c r="C347" t="s">
        <v>209</v>
      </c>
      <c r="D347" t="s">
        <v>434</v>
      </c>
      <c r="E347">
        <v>12</v>
      </c>
      <c r="F347" t="s">
        <v>294</v>
      </c>
    </row>
    <row r="348" spans="1:6" x14ac:dyDescent="0.3">
      <c r="A348" s="1">
        <v>46004</v>
      </c>
      <c r="B348">
        <v>2025</v>
      </c>
      <c r="C348" t="s">
        <v>209</v>
      </c>
      <c r="D348" t="s">
        <v>434</v>
      </c>
      <c r="E348">
        <v>13</v>
      </c>
      <c r="F348" t="s">
        <v>294</v>
      </c>
    </row>
    <row r="349" spans="1:6" x14ac:dyDescent="0.3">
      <c r="A349" s="1">
        <v>46005</v>
      </c>
      <c r="B349">
        <v>2025</v>
      </c>
      <c r="C349" t="s">
        <v>209</v>
      </c>
      <c r="D349" t="s">
        <v>434</v>
      </c>
      <c r="E349">
        <v>14</v>
      </c>
      <c r="F349" t="s">
        <v>294</v>
      </c>
    </row>
    <row r="350" spans="1:6" x14ac:dyDescent="0.3">
      <c r="A350" s="1">
        <v>46006</v>
      </c>
      <c r="B350">
        <v>2025</v>
      </c>
      <c r="C350" t="s">
        <v>209</v>
      </c>
      <c r="D350" t="s">
        <v>434</v>
      </c>
      <c r="E350">
        <v>15</v>
      </c>
      <c r="F350" t="s">
        <v>294</v>
      </c>
    </row>
    <row r="351" spans="1:6" x14ac:dyDescent="0.3">
      <c r="A351" s="1">
        <v>46007</v>
      </c>
      <c r="B351">
        <v>2025</v>
      </c>
      <c r="C351" t="s">
        <v>209</v>
      </c>
      <c r="D351" t="s">
        <v>434</v>
      </c>
      <c r="E351">
        <v>16</v>
      </c>
      <c r="F351" t="s">
        <v>294</v>
      </c>
    </row>
    <row r="352" spans="1:6" x14ac:dyDescent="0.3">
      <c r="A352" s="1">
        <v>46008</v>
      </c>
      <c r="B352">
        <v>2025</v>
      </c>
      <c r="C352" t="s">
        <v>209</v>
      </c>
      <c r="D352" t="s">
        <v>434</v>
      </c>
      <c r="E352">
        <v>17</v>
      </c>
      <c r="F352" t="s">
        <v>294</v>
      </c>
    </row>
    <row r="353" spans="1:6" x14ac:dyDescent="0.3">
      <c r="A353" s="1">
        <v>46009</v>
      </c>
      <c r="B353">
        <v>2025</v>
      </c>
      <c r="C353" t="s">
        <v>209</v>
      </c>
      <c r="D353" t="s">
        <v>434</v>
      </c>
      <c r="E353">
        <v>18</v>
      </c>
      <c r="F353" t="s">
        <v>294</v>
      </c>
    </row>
    <row r="354" spans="1:6" x14ac:dyDescent="0.3">
      <c r="A354" s="1">
        <v>46010</v>
      </c>
      <c r="B354">
        <v>2025</v>
      </c>
      <c r="C354" t="s">
        <v>209</v>
      </c>
      <c r="D354" t="s">
        <v>434</v>
      </c>
      <c r="E354">
        <v>19</v>
      </c>
      <c r="F354" t="s">
        <v>294</v>
      </c>
    </row>
    <row r="355" spans="1:6" x14ac:dyDescent="0.3">
      <c r="A355" s="1">
        <v>46011</v>
      </c>
      <c r="B355">
        <v>2025</v>
      </c>
      <c r="C355" t="s">
        <v>209</v>
      </c>
      <c r="D355" t="s">
        <v>434</v>
      </c>
      <c r="E355">
        <v>20</v>
      </c>
      <c r="F355" t="s">
        <v>294</v>
      </c>
    </row>
    <row r="356" spans="1:6" x14ac:dyDescent="0.3">
      <c r="A356" s="1">
        <v>46012</v>
      </c>
      <c r="B356">
        <v>2025</v>
      </c>
      <c r="C356" t="s">
        <v>209</v>
      </c>
      <c r="D356" t="s">
        <v>434</v>
      </c>
      <c r="E356">
        <v>21</v>
      </c>
      <c r="F356" t="s">
        <v>294</v>
      </c>
    </row>
    <row r="357" spans="1:6" x14ac:dyDescent="0.3">
      <c r="A357" s="1">
        <v>46013</v>
      </c>
      <c r="B357">
        <v>2025</v>
      </c>
      <c r="C357" t="s">
        <v>209</v>
      </c>
      <c r="D357" t="s">
        <v>434</v>
      </c>
      <c r="E357">
        <v>22</v>
      </c>
      <c r="F357" t="s">
        <v>294</v>
      </c>
    </row>
    <row r="358" spans="1:6" x14ac:dyDescent="0.3">
      <c r="A358" s="1">
        <v>46014</v>
      </c>
      <c r="B358">
        <v>2025</v>
      </c>
      <c r="C358" t="s">
        <v>209</v>
      </c>
      <c r="D358" t="s">
        <v>434</v>
      </c>
      <c r="E358">
        <v>23</v>
      </c>
      <c r="F358" t="s">
        <v>294</v>
      </c>
    </row>
    <row r="359" spans="1:6" x14ac:dyDescent="0.3">
      <c r="A359" s="1">
        <v>46015</v>
      </c>
      <c r="B359">
        <v>2025</v>
      </c>
      <c r="C359" t="s">
        <v>209</v>
      </c>
      <c r="D359" t="s">
        <v>434</v>
      </c>
      <c r="E359">
        <v>24</v>
      </c>
      <c r="F359" t="s">
        <v>294</v>
      </c>
    </row>
    <row r="360" spans="1:6" x14ac:dyDescent="0.3">
      <c r="A360" s="1">
        <v>46016</v>
      </c>
      <c r="B360">
        <v>2025</v>
      </c>
      <c r="C360" t="s">
        <v>209</v>
      </c>
      <c r="D360" t="s">
        <v>434</v>
      </c>
      <c r="E360">
        <v>25</v>
      </c>
      <c r="F360" t="s">
        <v>294</v>
      </c>
    </row>
    <row r="361" spans="1:6" x14ac:dyDescent="0.3">
      <c r="A361" s="1">
        <v>46017</v>
      </c>
      <c r="B361">
        <v>2025</v>
      </c>
      <c r="C361" t="s">
        <v>209</v>
      </c>
      <c r="D361" t="s">
        <v>434</v>
      </c>
      <c r="E361">
        <v>26</v>
      </c>
      <c r="F361" t="s">
        <v>294</v>
      </c>
    </row>
    <row r="362" spans="1:6" x14ac:dyDescent="0.3">
      <c r="A362" s="1">
        <v>46018</v>
      </c>
      <c r="B362">
        <v>2025</v>
      </c>
      <c r="C362" t="s">
        <v>209</v>
      </c>
      <c r="D362" t="s">
        <v>434</v>
      </c>
      <c r="E362">
        <v>27</v>
      </c>
      <c r="F362" t="s">
        <v>294</v>
      </c>
    </row>
    <row r="363" spans="1:6" x14ac:dyDescent="0.3">
      <c r="A363" s="1">
        <v>46019</v>
      </c>
      <c r="B363">
        <v>2025</v>
      </c>
      <c r="C363" t="s">
        <v>209</v>
      </c>
      <c r="D363" t="s">
        <v>434</v>
      </c>
      <c r="E363">
        <v>28</v>
      </c>
      <c r="F363" t="s">
        <v>294</v>
      </c>
    </row>
    <row r="364" spans="1:6" x14ac:dyDescent="0.3">
      <c r="A364" s="1">
        <v>46020</v>
      </c>
      <c r="B364">
        <v>2025</v>
      </c>
      <c r="C364" t="s">
        <v>209</v>
      </c>
      <c r="D364" t="s">
        <v>434</v>
      </c>
      <c r="E364">
        <v>29</v>
      </c>
      <c r="F364" t="s">
        <v>294</v>
      </c>
    </row>
    <row r="365" spans="1:6" x14ac:dyDescent="0.3">
      <c r="A365" s="1">
        <v>46021</v>
      </c>
      <c r="B365">
        <v>2025</v>
      </c>
      <c r="C365" t="s">
        <v>209</v>
      </c>
      <c r="D365" t="s">
        <v>434</v>
      </c>
      <c r="E365">
        <v>30</v>
      </c>
      <c r="F365" t="s">
        <v>294</v>
      </c>
    </row>
    <row r="366" spans="1:6" x14ac:dyDescent="0.3">
      <c r="A366" s="1">
        <v>46022</v>
      </c>
      <c r="B366">
        <v>2025</v>
      </c>
      <c r="C366" t="s">
        <v>209</v>
      </c>
      <c r="D366" t="s">
        <v>434</v>
      </c>
      <c r="E366">
        <v>31</v>
      </c>
      <c r="F366" t="s">
        <v>294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5F40-844C-49E3-9105-051F555697B1}">
  <dimension ref="A1:B101"/>
  <sheetViews>
    <sheetView topLeftCell="A9" workbookViewId="0">
      <selection activeCell="B27" sqref="B27"/>
    </sheetView>
  </sheetViews>
  <sheetFormatPr baseColWidth="10" defaultRowHeight="14.4" x14ac:dyDescent="0.3"/>
  <cols>
    <col min="1" max="1" width="20.88671875" customWidth="1"/>
    <col min="2" max="2" width="30.77734375" customWidth="1"/>
  </cols>
  <sheetData>
    <row r="1" spans="1:2" ht="15" thickBot="1" x14ac:dyDescent="0.35">
      <c r="A1" s="8" t="s">
        <v>320</v>
      </c>
      <c r="B1" s="10" t="s">
        <v>3</v>
      </c>
    </row>
    <row r="2" spans="1:2" ht="15" thickBot="1" x14ac:dyDescent="0.35">
      <c r="A2" s="5" t="s">
        <v>321</v>
      </c>
      <c r="B2" s="7" t="s">
        <v>8</v>
      </c>
    </row>
    <row r="3" spans="1:2" ht="15" thickBot="1" x14ac:dyDescent="0.35">
      <c r="A3" s="5" t="s">
        <v>322</v>
      </c>
      <c r="B3" s="7" t="s">
        <v>11</v>
      </c>
    </row>
    <row r="4" spans="1:2" ht="15" thickBot="1" x14ac:dyDescent="0.35">
      <c r="A4" s="5" t="s">
        <v>323</v>
      </c>
      <c r="B4" s="7" t="s">
        <v>14</v>
      </c>
    </row>
    <row r="5" spans="1:2" ht="15" thickBot="1" x14ac:dyDescent="0.35">
      <c r="A5" s="5" t="s">
        <v>324</v>
      </c>
      <c r="B5" s="7" t="s">
        <v>19</v>
      </c>
    </row>
    <row r="6" spans="1:2" ht="15" thickBot="1" x14ac:dyDescent="0.35">
      <c r="A6" s="5" t="s">
        <v>325</v>
      </c>
      <c r="B6" s="7" t="s">
        <v>8</v>
      </c>
    </row>
    <row r="7" spans="1:2" ht="15" thickBot="1" x14ac:dyDescent="0.35">
      <c r="A7" s="5" t="s">
        <v>326</v>
      </c>
      <c r="B7" s="7" t="s">
        <v>11</v>
      </c>
    </row>
    <row r="8" spans="1:2" ht="15" thickBot="1" x14ac:dyDescent="0.35">
      <c r="A8" s="5" t="s">
        <v>327</v>
      </c>
      <c r="B8" s="7" t="s">
        <v>14</v>
      </c>
    </row>
    <row r="9" spans="1:2" ht="15" thickBot="1" x14ac:dyDescent="0.35">
      <c r="A9" s="5" t="s">
        <v>328</v>
      </c>
      <c r="B9" s="7" t="s">
        <v>19</v>
      </c>
    </row>
    <row r="10" spans="1:2" ht="15" thickBot="1" x14ac:dyDescent="0.35">
      <c r="A10" s="5" t="s">
        <v>329</v>
      </c>
      <c r="B10" s="7" t="s">
        <v>8</v>
      </c>
    </row>
    <row r="11" spans="1:2" ht="15" thickBot="1" x14ac:dyDescent="0.35">
      <c r="A11" s="5" t="s">
        <v>330</v>
      </c>
      <c r="B11" s="7" t="s">
        <v>11</v>
      </c>
    </row>
    <row r="12" spans="1:2" ht="15" thickBot="1" x14ac:dyDescent="0.35">
      <c r="A12" s="5" t="s">
        <v>331</v>
      </c>
      <c r="B12" s="7" t="s">
        <v>14</v>
      </c>
    </row>
    <row r="13" spans="1:2" ht="15" thickBot="1" x14ac:dyDescent="0.35">
      <c r="A13" s="5" t="s">
        <v>332</v>
      </c>
      <c r="B13" s="7" t="s">
        <v>19</v>
      </c>
    </row>
    <row r="14" spans="1:2" ht="15" thickBot="1" x14ac:dyDescent="0.35">
      <c r="A14" s="5" t="s">
        <v>333</v>
      </c>
      <c r="B14" s="7" t="s">
        <v>8</v>
      </c>
    </row>
    <row r="15" spans="1:2" ht="15" thickBot="1" x14ac:dyDescent="0.35">
      <c r="A15" s="5" t="s">
        <v>334</v>
      </c>
      <c r="B15" s="7" t="s">
        <v>11</v>
      </c>
    </row>
    <row r="16" spans="1:2" ht="15" thickBot="1" x14ac:dyDescent="0.35">
      <c r="A16" s="5" t="s">
        <v>335</v>
      </c>
      <c r="B16" s="7" t="s">
        <v>14</v>
      </c>
    </row>
    <row r="17" spans="1:2" ht="15" thickBot="1" x14ac:dyDescent="0.35">
      <c r="A17" s="5" t="s">
        <v>336</v>
      </c>
      <c r="B17" s="7" t="s">
        <v>19</v>
      </c>
    </row>
    <row r="18" spans="1:2" ht="15" thickBot="1" x14ac:dyDescent="0.35">
      <c r="A18" s="5" t="s">
        <v>337</v>
      </c>
      <c r="B18" s="7" t="s">
        <v>8</v>
      </c>
    </row>
    <row r="19" spans="1:2" ht="15" thickBot="1" x14ac:dyDescent="0.35">
      <c r="A19" s="5" t="s">
        <v>338</v>
      </c>
      <c r="B19" s="7" t="s">
        <v>11</v>
      </c>
    </row>
    <row r="20" spans="1:2" ht="15" thickBot="1" x14ac:dyDescent="0.35">
      <c r="A20" s="5" t="s">
        <v>339</v>
      </c>
      <c r="B20" s="7" t="s">
        <v>14</v>
      </c>
    </row>
    <row r="21" spans="1:2" ht="15" thickBot="1" x14ac:dyDescent="0.35">
      <c r="A21" s="5" t="s">
        <v>340</v>
      </c>
      <c r="B21" s="7" t="s">
        <v>19</v>
      </c>
    </row>
    <row r="22" spans="1:2" ht="15" thickBot="1" x14ac:dyDescent="0.35">
      <c r="A22" s="5" t="s">
        <v>341</v>
      </c>
      <c r="B22" s="7" t="s">
        <v>8</v>
      </c>
    </row>
    <row r="23" spans="1:2" ht="15" thickBot="1" x14ac:dyDescent="0.35">
      <c r="A23" s="5" t="s">
        <v>342</v>
      </c>
      <c r="B23" s="7" t="s">
        <v>11</v>
      </c>
    </row>
    <row r="24" spans="1:2" ht="15" thickBot="1" x14ac:dyDescent="0.35">
      <c r="A24" s="5" t="s">
        <v>343</v>
      </c>
      <c r="B24" s="7" t="s">
        <v>14</v>
      </c>
    </row>
    <row r="25" spans="1:2" ht="15" thickBot="1" x14ac:dyDescent="0.35">
      <c r="A25" s="5" t="s">
        <v>344</v>
      </c>
      <c r="B25" s="7" t="s">
        <v>19</v>
      </c>
    </row>
    <row r="26" spans="1:2" ht="15" thickBot="1" x14ac:dyDescent="0.35">
      <c r="A26" s="5" t="s">
        <v>345</v>
      </c>
      <c r="B26" s="7" t="s">
        <v>8</v>
      </c>
    </row>
    <row r="27" spans="1:2" ht="15" thickBot="1" x14ac:dyDescent="0.35">
      <c r="A27" s="5" t="s">
        <v>346</v>
      </c>
      <c r="B27" s="7" t="s">
        <v>11</v>
      </c>
    </row>
    <row r="28" spans="1:2" ht="15" thickBot="1" x14ac:dyDescent="0.35">
      <c r="A28" s="5" t="s">
        <v>347</v>
      </c>
      <c r="B28" s="7" t="s">
        <v>14</v>
      </c>
    </row>
    <row r="29" spans="1:2" ht="15" thickBot="1" x14ac:dyDescent="0.35">
      <c r="A29" s="5" t="s">
        <v>348</v>
      </c>
      <c r="B29" s="7" t="s">
        <v>19</v>
      </c>
    </row>
    <row r="30" spans="1:2" ht="15" thickBot="1" x14ac:dyDescent="0.35">
      <c r="A30" s="5" t="s">
        <v>349</v>
      </c>
      <c r="B30" s="7" t="s">
        <v>8</v>
      </c>
    </row>
    <row r="31" spans="1:2" ht="15" thickBot="1" x14ac:dyDescent="0.35">
      <c r="A31" s="5" t="s">
        <v>350</v>
      </c>
      <c r="B31" s="7" t="s">
        <v>11</v>
      </c>
    </row>
    <row r="32" spans="1:2" ht="15" thickBot="1" x14ac:dyDescent="0.35">
      <c r="A32" s="5" t="s">
        <v>351</v>
      </c>
      <c r="B32" s="7" t="s">
        <v>14</v>
      </c>
    </row>
    <row r="33" spans="1:2" ht="15" thickBot="1" x14ac:dyDescent="0.35">
      <c r="A33" s="5" t="s">
        <v>352</v>
      </c>
      <c r="B33" s="7" t="s">
        <v>19</v>
      </c>
    </row>
    <row r="34" spans="1:2" ht="15" thickBot="1" x14ac:dyDescent="0.35">
      <c r="A34" s="5" t="s">
        <v>353</v>
      </c>
      <c r="B34" s="7" t="s">
        <v>8</v>
      </c>
    </row>
    <row r="35" spans="1:2" ht="15" thickBot="1" x14ac:dyDescent="0.35">
      <c r="A35" s="5" t="s">
        <v>354</v>
      </c>
      <c r="B35" s="7" t="s">
        <v>11</v>
      </c>
    </row>
    <row r="36" spans="1:2" ht="15" thickBot="1" x14ac:dyDescent="0.35">
      <c r="A36" s="5" t="s">
        <v>355</v>
      </c>
      <c r="B36" s="7" t="s">
        <v>14</v>
      </c>
    </row>
    <row r="37" spans="1:2" ht="15" thickBot="1" x14ac:dyDescent="0.35">
      <c r="A37" s="5" t="s">
        <v>356</v>
      </c>
      <c r="B37" s="7" t="s">
        <v>19</v>
      </c>
    </row>
    <row r="38" spans="1:2" ht="15" thickBot="1" x14ac:dyDescent="0.35">
      <c r="A38" s="5" t="s">
        <v>357</v>
      </c>
      <c r="B38" s="7" t="s">
        <v>8</v>
      </c>
    </row>
    <row r="39" spans="1:2" ht="15" thickBot="1" x14ac:dyDescent="0.35">
      <c r="A39" s="5" t="s">
        <v>358</v>
      </c>
      <c r="B39" s="7" t="s">
        <v>11</v>
      </c>
    </row>
    <row r="40" spans="1:2" ht="15" thickBot="1" x14ac:dyDescent="0.35">
      <c r="A40" s="5" t="s">
        <v>359</v>
      </c>
      <c r="B40" s="7" t="s">
        <v>14</v>
      </c>
    </row>
    <row r="41" spans="1:2" ht="15" thickBot="1" x14ac:dyDescent="0.35">
      <c r="A41" s="5" t="s">
        <v>360</v>
      </c>
      <c r="B41" s="7" t="s">
        <v>19</v>
      </c>
    </row>
    <row r="42" spans="1:2" ht="15" thickBot="1" x14ac:dyDescent="0.35">
      <c r="A42" s="5" t="s">
        <v>361</v>
      </c>
      <c r="B42" s="7" t="s">
        <v>8</v>
      </c>
    </row>
    <row r="43" spans="1:2" ht="15" thickBot="1" x14ac:dyDescent="0.35">
      <c r="A43" s="5" t="s">
        <v>362</v>
      </c>
      <c r="B43" s="7" t="s">
        <v>11</v>
      </c>
    </row>
    <row r="44" spans="1:2" ht="15" thickBot="1" x14ac:dyDescent="0.35">
      <c r="A44" s="5" t="s">
        <v>363</v>
      </c>
      <c r="B44" s="7" t="s">
        <v>14</v>
      </c>
    </row>
    <row r="45" spans="1:2" ht="15" thickBot="1" x14ac:dyDescent="0.35">
      <c r="A45" s="5" t="s">
        <v>364</v>
      </c>
      <c r="B45" s="7" t="s">
        <v>19</v>
      </c>
    </row>
    <row r="46" spans="1:2" ht="15" thickBot="1" x14ac:dyDescent="0.35">
      <c r="A46" s="5" t="s">
        <v>365</v>
      </c>
      <c r="B46" s="7" t="s">
        <v>8</v>
      </c>
    </row>
    <row r="47" spans="1:2" ht="15" thickBot="1" x14ac:dyDescent="0.35">
      <c r="A47" s="5" t="s">
        <v>366</v>
      </c>
      <c r="B47" s="7" t="s">
        <v>11</v>
      </c>
    </row>
    <row r="48" spans="1:2" ht="15" thickBot="1" x14ac:dyDescent="0.35">
      <c r="A48" s="5" t="s">
        <v>367</v>
      </c>
      <c r="B48" s="7" t="s">
        <v>14</v>
      </c>
    </row>
    <row r="49" spans="1:2" ht="15" thickBot="1" x14ac:dyDescent="0.35">
      <c r="A49" s="5" t="s">
        <v>368</v>
      </c>
      <c r="B49" s="7" t="s">
        <v>19</v>
      </c>
    </row>
    <row r="50" spans="1:2" ht="15" thickBot="1" x14ac:dyDescent="0.35">
      <c r="A50" s="5" t="s">
        <v>369</v>
      </c>
      <c r="B50" s="7" t="s">
        <v>8</v>
      </c>
    </row>
    <row r="51" spans="1:2" ht="15" thickBot="1" x14ac:dyDescent="0.35">
      <c r="A51" s="5" t="s">
        <v>370</v>
      </c>
      <c r="B51" s="7" t="s">
        <v>11</v>
      </c>
    </row>
    <row r="52" spans="1:2" ht="15" thickBot="1" x14ac:dyDescent="0.35">
      <c r="A52" s="5" t="s">
        <v>371</v>
      </c>
      <c r="B52" s="7" t="s">
        <v>14</v>
      </c>
    </row>
    <row r="53" spans="1:2" ht="15" thickBot="1" x14ac:dyDescent="0.35">
      <c r="A53" s="5" t="s">
        <v>372</v>
      </c>
      <c r="B53" s="7" t="s">
        <v>19</v>
      </c>
    </row>
    <row r="54" spans="1:2" ht="15" thickBot="1" x14ac:dyDescent="0.35">
      <c r="A54" s="5" t="s">
        <v>373</v>
      </c>
      <c r="B54" s="7" t="s">
        <v>8</v>
      </c>
    </row>
    <row r="55" spans="1:2" ht="15" thickBot="1" x14ac:dyDescent="0.35">
      <c r="A55" s="5" t="s">
        <v>374</v>
      </c>
      <c r="B55" s="7" t="s">
        <v>11</v>
      </c>
    </row>
    <row r="56" spans="1:2" ht="15" thickBot="1" x14ac:dyDescent="0.35">
      <c r="A56" s="5" t="s">
        <v>375</v>
      </c>
      <c r="B56" s="7" t="s">
        <v>14</v>
      </c>
    </row>
    <row r="57" spans="1:2" ht="15" thickBot="1" x14ac:dyDescent="0.35">
      <c r="A57" s="5" t="s">
        <v>376</v>
      </c>
      <c r="B57" s="7" t="s">
        <v>19</v>
      </c>
    </row>
    <row r="58" spans="1:2" ht="15" thickBot="1" x14ac:dyDescent="0.35">
      <c r="A58" s="5" t="s">
        <v>377</v>
      </c>
      <c r="B58" s="7" t="s">
        <v>8</v>
      </c>
    </row>
    <row r="59" spans="1:2" ht="15" thickBot="1" x14ac:dyDescent="0.35">
      <c r="A59" s="5" t="s">
        <v>378</v>
      </c>
      <c r="B59" s="7" t="s">
        <v>11</v>
      </c>
    </row>
    <row r="60" spans="1:2" ht="15" thickBot="1" x14ac:dyDescent="0.35">
      <c r="A60" s="5" t="s">
        <v>379</v>
      </c>
      <c r="B60" s="7" t="s">
        <v>14</v>
      </c>
    </row>
    <row r="61" spans="1:2" ht="15" thickBot="1" x14ac:dyDescent="0.35">
      <c r="A61" s="5" t="s">
        <v>380</v>
      </c>
      <c r="B61" s="7" t="s">
        <v>19</v>
      </c>
    </row>
    <row r="62" spans="1:2" ht="15" thickBot="1" x14ac:dyDescent="0.35">
      <c r="A62" s="5" t="s">
        <v>381</v>
      </c>
      <c r="B62" s="7" t="s">
        <v>8</v>
      </c>
    </row>
    <row r="63" spans="1:2" ht="15" thickBot="1" x14ac:dyDescent="0.35">
      <c r="A63" s="5" t="s">
        <v>382</v>
      </c>
      <c r="B63" s="7" t="s">
        <v>11</v>
      </c>
    </row>
    <row r="64" spans="1:2" ht="15" thickBot="1" x14ac:dyDescent="0.35">
      <c r="A64" s="5" t="s">
        <v>383</v>
      </c>
      <c r="B64" s="7" t="s">
        <v>14</v>
      </c>
    </row>
    <row r="65" spans="1:2" ht="15" thickBot="1" x14ac:dyDescent="0.35">
      <c r="A65" s="5" t="s">
        <v>384</v>
      </c>
      <c r="B65" s="7" t="s">
        <v>19</v>
      </c>
    </row>
    <row r="66" spans="1:2" ht="15" thickBot="1" x14ac:dyDescent="0.35">
      <c r="A66" s="5" t="s">
        <v>385</v>
      </c>
      <c r="B66" s="7" t="s">
        <v>8</v>
      </c>
    </row>
    <row r="67" spans="1:2" ht="15" thickBot="1" x14ac:dyDescent="0.35">
      <c r="A67" s="5" t="s">
        <v>386</v>
      </c>
      <c r="B67" s="7" t="s">
        <v>11</v>
      </c>
    </row>
    <row r="68" spans="1:2" ht="15" thickBot="1" x14ac:dyDescent="0.35">
      <c r="A68" s="5" t="s">
        <v>387</v>
      </c>
      <c r="B68" s="7" t="s">
        <v>14</v>
      </c>
    </row>
    <row r="69" spans="1:2" ht="15" thickBot="1" x14ac:dyDescent="0.35">
      <c r="A69" s="5" t="s">
        <v>388</v>
      </c>
      <c r="B69" s="7" t="s">
        <v>19</v>
      </c>
    </row>
    <row r="70" spans="1:2" ht="15" thickBot="1" x14ac:dyDescent="0.35">
      <c r="A70" s="5" t="s">
        <v>389</v>
      </c>
      <c r="B70" s="7" t="s">
        <v>8</v>
      </c>
    </row>
    <row r="71" spans="1:2" ht="15" thickBot="1" x14ac:dyDescent="0.35">
      <c r="A71" s="5" t="s">
        <v>390</v>
      </c>
      <c r="B71" s="7" t="s">
        <v>11</v>
      </c>
    </row>
    <row r="72" spans="1:2" ht="15" thickBot="1" x14ac:dyDescent="0.35">
      <c r="A72" s="5" t="s">
        <v>391</v>
      </c>
      <c r="B72" s="7" t="s">
        <v>14</v>
      </c>
    </row>
    <row r="73" spans="1:2" ht="15" thickBot="1" x14ac:dyDescent="0.35">
      <c r="A73" s="5" t="s">
        <v>392</v>
      </c>
      <c r="B73" s="7" t="s">
        <v>19</v>
      </c>
    </row>
    <row r="74" spans="1:2" ht="15" thickBot="1" x14ac:dyDescent="0.35">
      <c r="A74" s="5" t="s">
        <v>393</v>
      </c>
      <c r="B74" s="7" t="s">
        <v>8</v>
      </c>
    </row>
    <row r="75" spans="1:2" ht="15" thickBot="1" x14ac:dyDescent="0.35">
      <c r="A75" s="5" t="s">
        <v>394</v>
      </c>
      <c r="B75" s="7" t="s">
        <v>11</v>
      </c>
    </row>
    <row r="76" spans="1:2" ht="15" thickBot="1" x14ac:dyDescent="0.35">
      <c r="A76" s="5" t="s">
        <v>395</v>
      </c>
      <c r="B76" s="7" t="s">
        <v>14</v>
      </c>
    </row>
    <row r="77" spans="1:2" ht="15" thickBot="1" x14ac:dyDescent="0.35">
      <c r="A77" s="5" t="s">
        <v>396</v>
      </c>
      <c r="B77" s="7" t="s">
        <v>19</v>
      </c>
    </row>
    <row r="78" spans="1:2" ht="15" thickBot="1" x14ac:dyDescent="0.35">
      <c r="A78" s="5" t="s">
        <v>397</v>
      </c>
      <c r="B78" s="7" t="s">
        <v>8</v>
      </c>
    </row>
    <row r="79" spans="1:2" ht="15" thickBot="1" x14ac:dyDescent="0.35">
      <c r="A79" s="5" t="s">
        <v>398</v>
      </c>
      <c r="B79" s="7" t="s">
        <v>11</v>
      </c>
    </row>
    <row r="80" spans="1:2" ht="15" thickBot="1" x14ac:dyDescent="0.35">
      <c r="A80" s="5" t="s">
        <v>399</v>
      </c>
      <c r="B80" s="7" t="s">
        <v>14</v>
      </c>
    </row>
    <row r="81" spans="1:2" ht="15" thickBot="1" x14ac:dyDescent="0.35">
      <c r="A81" s="5" t="s">
        <v>400</v>
      </c>
      <c r="B81" s="7" t="s">
        <v>19</v>
      </c>
    </row>
    <row r="82" spans="1:2" ht="15" thickBot="1" x14ac:dyDescent="0.35">
      <c r="A82" s="5" t="s">
        <v>401</v>
      </c>
      <c r="B82" s="7" t="s">
        <v>8</v>
      </c>
    </row>
    <row r="83" spans="1:2" ht="15" thickBot="1" x14ac:dyDescent="0.35">
      <c r="A83" s="5" t="s">
        <v>402</v>
      </c>
      <c r="B83" s="7" t="s">
        <v>11</v>
      </c>
    </row>
    <row r="84" spans="1:2" ht="15" thickBot="1" x14ac:dyDescent="0.35">
      <c r="A84" s="5" t="s">
        <v>403</v>
      </c>
      <c r="B84" s="7" t="s">
        <v>14</v>
      </c>
    </row>
    <row r="85" spans="1:2" ht="15" thickBot="1" x14ac:dyDescent="0.35">
      <c r="A85" s="5" t="s">
        <v>404</v>
      </c>
      <c r="B85" s="7" t="s">
        <v>19</v>
      </c>
    </row>
    <row r="86" spans="1:2" ht="15" thickBot="1" x14ac:dyDescent="0.35">
      <c r="A86" s="5" t="s">
        <v>405</v>
      </c>
      <c r="B86" s="7" t="s">
        <v>8</v>
      </c>
    </row>
    <row r="87" spans="1:2" ht="15" thickBot="1" x14ac:dyDescent="0.35">
      <c r="A87" s="5" t="s">
        <v>406</v>
      </c>
      <c r="B87" s="7" t="s">
        <v>11</v>
      </c>
    </row>
    <row r="88" spans="1:2" ht="15" thickBot="1" x14ac:dyDescent="0.35">
      <c r="A88" s="5" t="s">
        <v>407</v>
      </c>
      <c r="B88" s="7" t="s">
        <v>14</v>
      </c>
    </row>
    <row r="89" spans="1:2" ht="15" thickBot="1" x14ac:dyDescent="0.35">
      <c r="A89" s="5" t="s">
        <v>408</v>
      </c>
      <c r="B89" s="7" t="s">
        <v>19</v>
      </c>
    </row>
    <row r="90" spans="1:2" ht="15" thickBot="1" x14ac:dyDescent="0.35">
      <c r="A90" s="5" t="s">
        <v>409</v>
      </c>
      <c r="B90" s="7" t="s">
        <v>8</v>
      </c>
    </row>
    <row r="91" spans="1:2" ht="15" thickBot="1" x14ac:dyDescent="0.35">
      <c r="A91" s="5" t="s">
        <v>410</v>
      </c>
      <c r="B91" s="7" t="s">
        <v>11</v>
      </c>
    </row>
    <row r="92" spans="1:2" ht="15" thickBot="1" x14ac:dyDescent="0.35">
      <c r="A92" s="5" t="s">
        <v>411</v>
      </c>
      <c r="B92" s="7" t="s">
        <v>14</v>
      </c>
    </row>
    <row r="93" spans="1:2" ht="15" thickBot="1" x14ac:dyDescent="0.35">
      <c r="A93" s="5" t="s">
        <v>412</v>
      </c>
      <c r="B93" s="7" t="s">
        <v>19</v>
      </c>
    </row>
    <row r="94" spans="1:2" ht="15" thickBot="1" x14ac:dyDescent="0.35">
      <c r="A94" s="5" t="s">
        <v>413</v>
      </c>
      <c r="B94" s="7" t="s">
        <v>8</v>
      </c>
    </row>
    <row r="95" spans="1:2" ht="15" thickBot="1" x14ac:dyDescent="0.35">
      <c r="A95" s="5" t="s">
        <v>414</v>
      </c>
      <c r="B95" s="7" t="s">
        <v>11</v>
      </c>
    </row>
    <row r="96" spans="1:2" ht="15" thickBot="1" x14ac:dyDescent="0.35">
      <c r="A96" s="5" t="s">
        <v>415</v>
      </c>
      <c r="B96" s="7" t="s">
        <v>14</v>
      </c>
    </row>
    <row r="97" spans="1:2" ht="15" thickBot="1" x14ac:dyDescent="0.35">
      <c r="A97" s="5" t="s">
        <v>416</v>
      </c>
      <c r="B97" s="7" t="s">
        <v>19</v>
      </c>
    </row>
    <row r="98" spans="1:2" ht="15" thickBot="1" x14ac:dyDescent="0.35">
      <c r="A98" s="5" t="s">
        <v>417</v>
      </c>
      <c r="B98" s="7" t="s">
        <v>8</v>
      </c>
    </row>
    <row r="99" spans="1:2" ht="15" thickBot="1" x14ac:dyDescent="0.35">
      <c r="A99" s="5" t="s">
        <v>418</v>
      </c>
      <c r="B99" s="7" t="s">
        <v>11</v>
      </c>
    </row>
    <row r="100" spans="1:2" ht="15" thickBot="1" x14ac:dyDescent="0.35">
      <c r="A100" s="5" t="s">
        <v>419</v>
      </c>
      <c r="B100" s="7" t="s">
        <v>14</v>
      </c>
    </row>
    <row r="101" spans="1:2" x14ac:dyDescent="0.3">
      <c r="A101" s="15" t="s">
        <v>420</v>
      </c>
      <c r="B101" s="14" t="s">
        <v>19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B204-7A49-4289-BA33-B8C5BF2A397C}">
  <dimension ref="A1:D13"/>
  <sheetViews>
    <sheetView workbookViewId="0">
      <selection activeCell="G11" sqref="G11"/>
    </sheetView>
  </sheetViews>
  <sheetFormatPr baseColWidth="10" defaultRowHeight="14.4" x14ac:dyDescent="0.3"/>
  <cols>
    <col min="2" max="2" width="17.109375" customWidth="1"/>
    <col min="4" max="4" width="13.6640625" customWidth="1"/>
  </cols>
  <sheetData>
    <row r="1" spans="1:4" ht="15" thickBot="1" x14ac:dyDescent="0.35">
      <c r="A1" s="8" t="s">
        <v>303</v>
      </c>
      <c r="B1" s="9" t="s">
        <v>421</v>
      </c>
      <c r="C1" s="9" t="s">
        <v>302</v>
      </c>
      <c r="D1" s="10" t="s">
        <v>426</v>
      </c>
    </row>
    <row r="2" spans="1:4" ht="15" thickBot="1" x14ac:dyDescent="0.35">
      <c r="A2" s="6" t="s">
        <v>266</v>
      </c>
      <c r="B2" s="3" t="s">
        <v>422</v>
      </c>
      <c r="C2" s="3">
        <v>2025</v>
      </c>
      <c r="D2" s="7" t="s">
        <v>168</v>
      </c>
    </row>
    <row r="3" spans="1:4" ht="15" thickBot="1" x14ac:dyDescent="0.35">
      <c r="A3" s="6" t="s">
        <v>275</v>
      </c>
      <c r="B3" s="3" t="s">
        <v>423</v>
      </c>
      <c r="C3" s="3">
        <v>2025</v>
      </c>
      <c r="D3" s="7" t="s">
        <v>168</v>
      </c>
    </row>
    <row r="4" spans="1:4" ht="15" thickBot="1" x14ac:dyDescent="0.35">
      <c r="A4" s="6" t="s">
        <v>280</v>
      </c>
      <c r="B4" s="3" t="s">
        <v>424</v>
      </c>
      <c r="C4" s="3">
        <v>2025</v>
      </c>
      <c r="D4" s="7" t="s">
        <v>168</v>
      </c>
    </row>
    <row r="5" spans="1:4" ht="15" thickBot="1" x14ac:dyDescent="0.35">
      <c r="A5" s="6" t="s">
        <v>285</v>
      </c>
      <c r="B5" s="3" t="s">
        <v>425</v>
      </c>
      <c r="C5" s="3">
        <v>2025</v>
      </c>
      <c r="D5" s="7" t="s">
        <v>182</v>
      </c>
    </row>
    <row r="6" spans="1:4" ht="15" thickBot="1" x14ac:dyDescent="0.35">
      <c r="A6" s="6" t="s">
        <v>287</v>
      </c>
      <c r="B6" s="3" t="s">
        <v>427</v>
      </c>
      <c r="C6" s="3">
        <v>2025</v>
      </c>
      <c r="D6" s="7" t="s">
        <v>182</v>
      </c>
    </row>
    <row r="7" spans="1:4" ht="15" thickBot="1" x14ac:dyDescent="0.35">
      <c r="A7" s="6" t="s">
        <v>288</v>
      </c>
      <c r="B7" s="3" t="s">
        <v>428</v>
      </c>
      <c r="C7" s="3">
        <v>2025</v>
      </c>
      <c r="D7" s="7" t="s">
        <v>182</v>
      </c>
    </row>
    <row r="8" spans="1:4" ht="15" thickBot="1" x14ac:dyDescent="0.35">
      <c r="A8" s="6" t="s">
        <v>289</v>
      </c>
      <c r="B8" s="3" t="s">
        <v>429</v>
      </c>
      <c r="C8" s="3">
        <v>2025</v>
      </c>
      <c r="D8" s="7" t="s">
        <v>197</v>
      </c>
    </row>
    <row r="9" spans="1:4" ht="15" thickBot="1" x14ac:dyDescent="0.35">
      <c r="A9" s="6" t="s">
        <v>290</v>
      </c>
      <c r="B9" s="3" t="s">
        <v>430</v>
      </c>
      <c r="C9" s="3">
        <v>2025</v>
      </c>
      <c r="D9" s="7" t="s">
        <v>197</v>
      </c>
    </row>
    <row r="10" spans="1:4" ht="28.2" thickBot="1" x14ac:dyDescent="0.35">
      <c r="A10" s="6" t="s">
        <v>291</v>
      </c>
      <c r="B10" s="3" t="s">
        <v>431</v>
      </c>
      <c r="C10" s="3">
        <v>2025</v>
      </c>
      <c r="D10" s="7" t="s">
        <v>197</v>
      </c>
    </row>
    <row r="11" spans="1:4" ht="15" thickBot="1" x14ac:dyDescent="0.35">
      <c r="A11" s="6" t="s">
        <v>292</v>
      </c>
      <c r="B11" s="3" t="s">
        <v>432</v>
      </c>
      <c r="C11" s="3">
        <v>2025</v>
      </c>
      <c r="D11" s="7" t="s">
        <v>209</v>
      </c>
    </row>
    <row r="12" spans="1:4" ht="15" thickBot="1" x14ac:dyDescent="0.35">
      <c r="A12" s="6" t="s">
        <v>293</v>
      </c>
      <c r="B12" s="3" t="s">
        <v>433</v>
      </c>
      <c r="C12" s="3">
        <v>2025</v>
      </c>
      <c r="D12" s="7" t="s">
        <v>209</v>
      </c>
    </row>
    <row r="13" spans="1:4" x14ac:dyDescent="0.3">
      <c r="A13" s="11" t="s">
        <v>294</v>
      </c>
      <c r="B13" s="12" t="s">
        <v>434</v>
      </c>
      <c r="C13" s="12">
        <v>2025</v>
      </c>
      <c r="D13" s="14" t="s">
        <v>209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Props1.xml><?xml version="1.0" encoding="utf-8"?>
<ds:datastoreItem xmlns:ds="http://schemas.openxmlformats.org/officeDocument/2006/customXml" ds:itemID="{98254F40-BDE3-46D0-B4C5-EE7FB38CDCCF}">
  <ds:schemaRefs/>
</ds:datastoreItem>
</file>

<file path=customXml/itemProps2.xml><?xml version="1.0" encoding="utf-8"?>
<ds:datastoreItem xmlns:ds="http://schemas.openxmlformats.org/officeDocument/2006/customXml" ds:itemID="{962B3CA8-DD4C-4B1E-91D9-6CBDA2E188F5}">
  <ds:schemaRefs/>
</ds:datastoreItem>
</file>

<file path=customXml/itemProps3.xml><?xml version="1.0" encoding="utf-8"?>
<ds:datastoreItem xmlns:ds="http://schemas.openxmlformats.org/officeDocument/2006/customXml" ds:itemID="{92624FA7-6A4A-4E20-93B2-63A2C9D0346C}">
  <ds:schemaRefs/>
</ds:datastoreItem>
</file>

<file path=customXml/itemProps4.xml><?xml version="1.0" encoding="utf-8"?>
<ds:datastoreItem xmlns:ds="http://schemas.openxmlformats.org/officeDocument/2006/customXml" ds:itemID="{F6057416-453B-46B3-9E8B-257D35C981B3}">
  <ds:schemaRefs/>
</ds:datastoreItem>
</file>

<file path=customXml/itemProps5.xml><?xml version="1.0" encoding="utf-8"?>
<ds:datastoreItem xmlns:ds="http://schemas.openxmlformats.org/officeDocument/2006/customXml" ds:itemID="{89F4DFA9-863D-487F-A3D0-D3E92652C345}">
  <ds:schemaRefs/>
</ds:datastoreItem>
</file>

<file path=customXml/itemProps6.xml><?xml version="1.0" encoding="utf-8"?>
<ds:datastoreItem xmlns:ds="http://schemas.openxmlformats.org/officeDocument/2006/customXml" ds:itemID="{17973698-C99F-49B9-8E8C-69D87918A0E7}">
  <ds:schemaRefs/>
</ds:datastoreItem>
</file>

<file path=customXml/itemProps7.xml><?xml version="1.0" encoding="utf-8"?>
<ds:datastoreItem xmlns:ds="http://schemas.openxmlformats.org/officeDocument/2006/customXml" ds:itemID="{ABEDD12E-E43D-46C5-8EB1-E97337D3D75A}">
  <ds:schemaRefs/>
</ds:datastoreItem>
</file>

<file path=customXml/itemProps8.xml><?xml version="1.0" encoding="utf-8"?>
<ds:datastoreItem xmlns:ds="http://schemas.openxmlformats.org/officeDocument/2006/customXml" ds:itemID="{81FDF354-B9E9-4315-B85A-2F3284ACA54B}">
  <ds:schemaRefs/>
</ds:datastoreItem>
</file>

<file path=customXml/itemProps9.xml><?xml version="1.0" encoding="utf-8"?>
<ds:datastoreItem xmlns:ds="http://schemas.openxmlformats.org/officeDocument/2006/customXml" ds:itemID="{6DE114DD-1411-4709-85DA-E16FB88837B1}">
  <ds:schemaRefs/>
</ds:datastoreItem>
</file>

<file path=customXml/itemProps10.xml><?xml version="1.0" encoding="utf-8"?>
<ds:datastoreItem xmlns:ds="http://schemas.openxmlformats.org/officeDocument/2006/customXml" ds:itemID="{4DD3371F-FF41-477C-B9E0-63A5455C1EE7}">
  <ds:schemaRefs/>
</ds:datastoreItem>
</file>

<file path=customXml/itemProps11.xml><?xml version="1.0" encoding="utf-8"?>
<ds:datastoreItem xmlns:ds="http://schemas.openxmlformats.org/officeDocument/2006/customXml" ds:itemID="{E7900077-C42F-4F30-B315-AF3B3972F556}">
  <ds:schemaRefs/>
</ds:datastoreItem>
</file>

<file path=customXml/itemProps12.xml><?xml version="1.0" encoding="utf-8"?>
<ds:datastoreItem xmlns:ds="http://schemas.openxmlformats.org/officeDocument/2006/customXml" ds:itemID="{2ED6BAE0-308C-48AD-92EB-E1604CEAF117}">
  <ds:schemaRefs/>
</ds:datastoreItem>
</file>

<file path=customXml/itemProps13.xml><?xml version="1.0" encoding="utf-8"?>
<ds:datastoreItem xmlns:ds="http://schemas.openxmlformats.org/officeDocument/2006/customXml" ds:itemID="{AE8584CC-407A-481F-A7E2-5F6E4780AEE1}">
  <ds:schemaRefs/>
</ds:datastoreItem>
</file>

<file path=customXml/itemProps14.xml><?xml version="1.0" encoding="utf-8"?>
<ds:datastoreItem xmlns:ds="http://schemas.openxmlformats.org/officeDocument/2006/customXml" ds:itemID="{BCA450AF-9C1E-49C7-AA2D-C2349A267D45}">
  <ds:schemaRefs/>
</ds:datastoreItem>
</file>

<file path=customXml/itemProps15.xml><?xml version="1.0" encoding="utf-8"?>
<ds:datastoreItem xmlns:ds="http://schemas.openxmlformats.org/officeDocument/2006/customXml" ds:itemID="{68E7CE54-8038-4F9D-9195-5EF85EA331C1}">
  <ds:schemaRefs/>
</ds:datastoreItem>
</file>

<file path=customXml/itemProps16.xml><?xml version="1.0" encoding="utf-8"?>
<ds:datastoreItem xmlns:ds="http://schemas.openxmlformats.org/officeDocument/2006/customXml" ds:itemID="{2287305C-AE4D-4662-A004-ACB215CBD4C2}">
  <ds:schemaRefs/>
</ds:datastoreItem>
</file>

<file path=customXml/itemProps17.xml><?xml version="1.0" encoding="utf-8"?>
<ds:datastoreItem xmlns:ds="http://schemas.openxmlformats.org/officeDocument/2006/customXml" ds:itemID="{7D2C803E-99F9-4AFC-8E88-C0502233E5E0}">
  <ds:schemaRefs/>
</ds:datastoreItem>
</file>

<file path=customXml/itemProps18.xml><?xml version="1.0" encoding="utf-8"?>
<ds:datastoreItem xmlns:ds="http://schemas.openxmlformats.org/officeDocument/2006/customXml" ds:itemID="{6DC9E583-2CED-4E7A-A8BB-95DA4D5FF8B4}">
  <ds:schemaRefs/>
</ds:datastoreItem>
</file>

<file path=customXml/itemProps19.xml><?xml version="1.0" encoding="utf-8"?>
<ds:datastoreItem xmlns:ds="http://schemas.openxmlformats.org/officeDocument/2006/customXml" ds:itemID="{4E08FAFF-45F8-41A0-A0DC-FFC33C62CB16}">
  <ds:schemaRefs/>
</ds:datastoreItem>
</file>

<file path=customXml/itemProps20.xml><?xml version="1.0" encoding="utf-8"?>
<ds:datastoreItem xmlns:ds="http://schemas.openxmlformats.org/officeDocument/2006/customXml" ds:itemID="{999D4135-9929-4F22-A95A-146C129CA4DA}">
  <ds:schemaRefs/>
</ds:datastoreItem>
</file>

<file path=customXml/itemProps21.xml><?xml version="1.0" encoding="utf-8"?>
<ds:datastoreItem xmlns:ds="http://schemas.openxmlformats.org/officeDocument/2006/customXml" ds:itemID="{27806361-B9B9-4E38-835E-056E664FA01B}">
  <ds:schemaRefs/>
</ds:datastoreItem>
</file>

<file path=customXml/itemProps22.xml><?xml version="1.0" encoding="utf-8"?>
<ds:datastoreItem xmlns:ds="http://schemas.openxmlformats.org/officeDocument/2006/customXml" ds:itemID="{D325F474-FD78-4D6A-B7EF-BC7ACBFB0C10}">
  <ds:schemaRefs/>
</ds:datastoreItem>
</file>

<file path=customXml/itemProps23.xml><?xml version="1.0" encoding="utf-8"?>
<ds:datastoreItem xmlns:ds="http://schemas.openxmlformats.org/officeDocument/2006/customXml" ds:itemID="{7E678D08-5B45-4BC9-A054-43E9C6514FD7}">
  <ds:schemaRefs/>
</ds:datastoreItem>
</file>

<file path=customXml/itemProps24.xml><?xml version="1.0" encoding="utf-8"?>
<ds:datastoreItem xmlns:ds="http://schemas.openxmlformats.org/officeDocument/2006/customXml" ds:itemID="{1E3390CB-22F0-4409-AF09-9EE3A1C079C1}">
  <ds:schemaRefs/>
</ds:datastoreItem>
</file>

<file path=customXml/itemProps25.xml><?xml version="1.0" encoding="utf-8"?>
<ds:datastoreItem xmlns:ds="http://schemas.openxmlformats.org/officeDocument/2006/customXml" ds:itemID="{BCCAA85E-77F3-41DA-9D2D-41E219204037}">
  <ds:schemaRefs/>
</ds:datastoreItem>
</file>

<file path=customXml/itemProps26.xml><?xml version="1.0" encoding="utf-8"?>
<ds:datastoreItem xmlns:ds="http://schemas.openxmlformats.org/officeDocument/2006/customXml" ds:itemID="{33730ECA-4C87-45FC-8CE4-B5BE0A620760}">
  <ds:schemaRefs/>
</ds:datastoreItem>
</file>

<file path=customXml/itemProps27.xml><?xml version="1.0" encoding="utf-8"?>
<ds:datastoreItem xmlns:ds="http://schemas.openxmlformats.org/officeDocument/2006/customXml" ds:itemID="{AB9401EF-9907-44AC-B727-AF6782076340}">
  <ds:schemaRefs/>
</ds:datastoreItem>
</file>

<file path=customXml/itemProps28.xml><?xml version="1.0" encoding="utf-8"?>
<ds:datastoreItem xmlns:ds="http://schemas.openxmlformats.org/officeDocument/2006/customXml" ds:itemID="{D063EE41-2991-4035-98F7-12FA6F83CA2E}">
  <ds:schemaRefs/>
</ds:datastoreItem>
</file>

<file path=customXml/itemProps29.xml><?xml version="1.0" encoding="utf-8"?>
<ds:datastoreItem xmlns:ds="http://schemas.openxmlformats.org/officeDocument/2006/customXml" ds:itemID="{00FC2A06-2639-4955-A7B2-57B142E7C149}">
  <ds:schemaRefs/>
</ds:datastoreItem>
</file>

<file path=customXml/itemProps30.xml><?xml version="1.0" encoding="utf-8"?>
<ds:datastoreItem xmlns:ds="http://schemas.openxmlformats.org/officeDocument/2006/customXml" ds:itemID="{3E2BE7A7-74CA-4765-B3D0-4810BF8C84D3}">
  <ds:schemaRefs/>
</ds:datastoreItem>
</file>

<file path=customXml/itemProps31.xml><?xml version="1.0" encoding="utf-8"?>
<ds:datastoreItem xmlns:ds="http://schemas.openxmlformats.org/officeDocument/2006/customXml" ds:itemID="{F8CB3D03-9F04-4667-9955-1A3230C45AD3}">
  <ds:schemaRefs/>
</ds:datastoreItem>
</file>

<file path=customXml/itemProps32.xml><?xml version="1.0" encoding="utf-8"?>
<ds:datastoreItem xmlns:ds="http://schemas.openxmlformats.org/officeDocument/2006/customXml" ds:itemID="{EBB758C2-572A-4F6A-9351-7376E52CB520}">
  <ds:schemaRefs/>
</ds:datastoreItem>
</file>

<file path=customXml/itemProps33.xml><?xml version="1.0" encoding="utf-8"?>
<ds:datastoreItem xmlns:ds="http://schemas.openxmlformats.org/officeDocument/2006/customXml" ds:itemID="{C5DC8EB5-04F6-438D-827D-E1335229FEDD}">
  <ds:schemaRefs/>
</ds:datastoreItem>
</file>

<file path=customXml/itemProps34.xml><?xml version="1.0" encoding="utf-8"?>
<ds:datastoreItem xmlns:ds="http://schemas.openxmlformats.org/officeDocument/2006/customXml" ds:itemID="{F372D6E2-D8E4-41EA-A35C-D70017321A86}">
  <ds:schemaRefs/>
</ds:datastoreItem>
</file>

<file path=customXml/itemProps35.xml><?xml version="1.0" encoding="utf-8"?>
<ds:datastoreItem xmlns:ds="http://schemas.openxmlformats.org/officeDocument/2006/customXml" ds:itemID="{09A35086-F263-4EFD-9453-7768E8053C84}">
  <ds:schemaRefs/>
</ds:datastoreItem>
</file>

<file path=customXml/itemProps36.xml><?xml version="1.0" encoding="utf-8"?>
<ds:datastoreItem xmlns:ds="http://schemas.openxmlformats.org/officeDocument/2006/customXml" ds:itemID="{E24BBE26-189F-4917-A626-3D345898D3F1}">
  <ds:schemaRefs/>
</ds:datastoreItem>
</file>

<file path=customXml/itemProps37.xml><?xml version="1.0" encoding="utf-8"?>
<ds:datastoreItem xmlns:ds="http://schemas.openxmlformats.org/officeDocument/2006/customXml" ds:itemID="{894205C4-4A47-414E-92F7-2AFF5E970398}">
  <ds:schemaRefs/>
</ds:datastoreItem>
</file>

<file path=customXml/itemProps38.xml><?xml version="1.0" encoding="utf-8"?>
<ds:datastoreItem xmlns:ds="http://schemas.openxmlformats.org/officeDocument/2006/customXml" ds:itemID="{CC96241F-E393-4C3F-B778-4E194AA2BE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Dashborad</vt:lpstr>
      <vt:lpstr>Dashboard_Procesamiento</vt:lpstr>
      <vt:lpstr>Hoja_separación</vt:lpstr>
      <vt:lpstr>Fact_Ventas</vt:lpstr>
      <vt:lpstr>Dim_Clientes_Marketing</vt:lpstr>
      <vt:lpstr>Dim_Gastos_Operativos</vt:lpstr>
      <vt:lpstr>Dim_Tiempo</vt:lpstr>
      <vt:lpstr>Dim_Producto</vt:lpstr>
      <vt:lpstr>Dim_Meses_Puente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Rincón Piratoba</dc:creator>
  <cp:lastModifiedBy>Juan Esteban Rincón Piratoba</cp:lastModifiedBy>
  <dcterms:created xsi:type="dcterms:W3CDTF">2015-06-05T18:19:34Z</dcterms:created>
  <dcterms:modified xsi:type="dcterms:W3CDTF">2026-06-09T15:34:34Z</dcterms:modified>
</cp:coreProperties>
</file>